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f84bb74b84d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cefaa2dc81b2474b"/>
    <x:sheet xmlns:r="http://schemas.openxmlformats.org/officeDocument/2006/relationships" name="Параметры" sheetId="2" r:id="R784046cbd0cc4455"/>
    <x:sheet xmlns:r="http://schemas.openxmlformats.org/officeDocument/2006/relationships" name="Прецеденты" sheetId="3" r:id="Rf6411bcd196145d6"/>
    <x:sheet xmlns:r="http://schemas.openxmlformats.org/officeDocument/2006/relationships" name="Риски" sheetId="4" r:id="R95aaaf430c4b498c"/>
    <x:sheet xmlns:r="http://schemas.openxmlformats.org/officeDocument/2006/relationships" name="Главные риски" sheetId="5" r:id="R24aa0540ca7d4756"/>
    <x:sheet xmlns:r="http://schemas.openxmlformats.org/officeDocument/2006/relationships" name="Себестоимость" sheetId="6" r:id="Rb43834855fd642ae"/>
    <x:sheet xmlns:r="http://schemas.openxmlformats.org/officeDocument/2006/relationships" name="Компромиссы" sheetId="7" r:id="Re9493e19107c45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%"/>
    <x:numFmt numFmtId="201" formatCode="#,##0"/>
    <x:numFmt numFmtId="202" formatCode="#,##0.00"/>
    <x:numFmt numFmtId="203" formatCode="0.00"/>
    <x:numFmt numFmtId="204" formatCode="0"/>
    <x:numFmt numFmtId="205" formatCode="0.0000"/>
  </x:numFmts>
  <x:fonts count="6">
    <x:font>
      <x:sz val="11"/>
      <x:name val="Carlito"/>
    </x:font>
    <x:font>
      <x:sz val="11"/>
      <x:color rgb="FF17283B"/>
      <x:name val="Arial"/>
    </x:font>
    <x:font>
      <x:b/>
      <x:sz val="16"/>
      <x:color rgb="FF17283B"/>
      <x:name val="Arial"/>
    </x:font>
    <x:font>
      <x:b/>
      <x:sz val="11"/>
      <x:color rgb="FFFFFFFF"/>
      <x:name val="Arial"/>
    </x:font>
    <x:font>
      <x:sz val="11"/>
      <x:color rgb="FF215DA8"/>
      <x:name val="Arial"/>
    </x:font>
    <x:font>
      <x:b/>
      <x:sz val="11"/>
      <x:color rgb="FF17283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94968"/>
      </x:patternFill>
    </x:fill>
    <x:fill>
      <x:patternFill patternType="solid">
        <x:fgColor rgb="FFFFF2CC"/>
      </x:patternFill>
    </x:fill>
    <x:fill>
      <x:patternFill patternType="solid">
        <x:fgColor rgb="FFE4EDF5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 applyAlignment="1">
      <x:alignment vertical="center"/>
    </x:xf>
    <x:xf numFmtId="205" fontId="4" fillId="3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f426bdada4ea3" /><Relationship Type="http://schemas.openxmlformats.org/officeDocument/2006/relationships/theme" Target="/xl/theme/theme1.xml" Id="R2ca1490f18d641a6" /><Relationship Type="http://schemas.openxmlformats.org/officeDocument/2006/relationships/sharedStrings" Target="/xl/sharedStrings.xml" Id="R069a296b168140f2" /><Relationship Type="http://schemas.openxmlformats.org/officeDocument/2006/relationships/worksheet" Target="/xl/worksheets/sheet1.xml" Id="Rcefaa2dc81b2474b" /><Relationship Type="http://schemas.openxmlformats.org/officeDocument/2006/relationships/worksheet" Target="/xl/worksheets/sheet2.xml" Id="R784046cbd0cc4455" /><Relationship Type="http://schemas.openxmlformats.org/officeDocument/2006/relationships/worksheet" Target="/xl/worksheets/sheet3.xml" Id="Rf6411bcd196145d6" /><Relationship Type="http://schemas.openxmlformats.org/officeDocument/2006/relationships/worksheet" Target="/xl/worksheets/sheet4.xml" Id="R95aaaf430c4b498c" /><Relationship Type="http://schemas.openxmlformats.org/officeDocument/2006/relationships/worksheet" Target="/xl/worksheets/sheet5.xml" Id="R24aa0540ca7d4756" /><Relationship Type="http://schemas.openxmlformats.org/officeDocument/2006/relationships/worksheet" Target="/xl/worksheets/sheet6.xml" Id="Rb43834855fd642ae" /><Relationship Type="http://schemas.openxmlformats.org/officeDocument/2006/relationships/worksheet" Target="/xl/worksheets/sheet7.xml" Id="Re9493e19107c45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12b6e311bb4a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Трудовая стоимость по ролям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Стоимость руб</c:v>
          </c:tx>
          <c:cat>
            <c:strRef>
              <c:f>'Сводка'!$E$5:$E$10</c:f>
              <c:strCache>
                <c:ptCount val="0"/>
              </c:strCache>
            </c:strRef>
          </c:cat>
          <c:val>
            <c:numRef>
              <c:f>'Сводка'!$F$5:$F$10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12b6e311bb4a5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09bdc928c804931" /></Relationships>
</file>

<file path=xl/worksheets/sheet1.xml><?xml version="1.0" encoding="utf-8"?>
<x:worksheet xmlns:x="http://schemas.openxmlformats.org/spreadsheetml/2006/main">
  <x:sheetPr>
    <x:tabColor rgb="FF294968"/>
  </x:sheetPr>
  <x:sheetViews>
    <x:sheetView showGridLines="0" workbookViewId="0"/>
  </x:sheetViews>
  <x:sheetFormatPr defaultRowHeight="15"/>
  <x:cols>
    <x:col min="1" max="1" width="54" hidden="0" customWidth="1"/>
    <x:col min="2" max="2" width="24" hidden="0" customWidth="1"/>
    <x:col min="3" max="3" width="20" hidden="0" customWidth="1"/>
    <x:col min="4" max="4" width="4" hidden="0" customWidth="1"/>
    <x:col min="5" max="5" width="26" hidden="0" customWidth="1"/>
    <x:col min="6" max="6" width="24" hidden="0" customWidth="1"/>
    <x:col min="7" max="7" width="20" hidden="0" customWidth="1"/>
    <x:col min="8" max="8" width="1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АС Студенты   Итоги лабораторной работы 2</x:v>
      </x:c>
      <x:c r="B2" s="2"/>
      <x:c r="C2" s="2"/>
      <x:c r="D2" s="2"/>
      <x:c r="E2" s="2"/>
      <x:c r="F2" s="2"/>
      <x:c r="G2" s="2"/>
      <x:c r="H2" s="2"/>
    </x:row>
    <x:row r="3" ht="25" customHeight="1">
      <x:c r="A3" s="2"/>
      <x:c r="B3" s="2"/>
      <x:c r="C3" s="2"/>
      <x:c r="D3" s="2"/>
      <x:c r="E3" s="2"/>
      <x:c r="F3" s="2"/>
      <x:c r="G3" s="2"/>
      <x:c r="H3" s="2"/>
    </x:row>
    <x:row r="4" ht="38" customHeight="1">
      <x:c r="A4" s="7" t="str">
        <x:v>Показатель</x:v>
      </x:c>
      <x:c r="B4" s="7" t="str">
        <x:v>Значение</x:v>
      </x:c>
      <x:c r="C4" s="7" t="str">
        <x:v>Единица</x:v>
      </x:c>
      <x:c r="D4" s="2"/>
      <x:c r="E4" s="7" t="str">
        <x:v>Роль</x:v>
      </x:c>
      <x:c r="F4" s="7" t="str">
        <x:v>Стоимость руб</x:v>
      </x:c>
      <x:c r="G4" s="2"/>
      <x:c r="H4" s="2"/>
    </x:row>
    <x:row r="5" ht="41" customHeight="1">
      <x:c r="A5" s="2" t="str">
        <x:v>Число прецедентов</x:v>
      </x:c>
      <x:c r="B5" s="32" t="n">
        <x:f>COUNTA('Прецеденты'!A5:A28)</x:f>
        <x:v>24</x:v>
      </x:c>
      <x:c r="C5" s="2" t="str">
        <x:v>шт.</x:v>
      </x:c>
      <x:c r="D5" s="2"/>
      <x:c r="E5" s="8" t="str">
        <x:f>'Себестоимость'!A5</x:f>
        <x:v>Руководитель проекта</x:v>
      </x:c>
      <x:c r="F5" s="16" t="n">
        <x:f>'Себестоимость'!G5</x:f>
        <x:v>495175</x:v>
      </x:c>
      <x:c r="G5" s="2"/>
      <x:c r="H5" s="2"/>
    </x:row>
    <x:row r="6" ht="41" customHeight="1">
      <x:c r="A6" s="2" t="str">
        <x:v>Базовая оценка</x:v>
      </x:c>
      <x:c r="B6" s="16" t="n">
        <x:f>'Прецеденты'!D30</x:f>
        <x:v>1366</x:v>
      </x:c>
      <x:c r="C6" s="2" t="str">
        <x:v>ч</x:v>
      </x:c>
      <x:c r="D6" s="2"/>
      <x:c r="E6" s="8" t="str">
        <x:f>'Себестоимость'!A6</x:f>
        <x:v>Тимлид и системный аналитик</x:v>
      </x:c>
      <x:c r="F6" s="16" t="n">
        <x:f>'Себестоимость'!G6</x:f>
        <x:v>371500</x:v>
      </x:c>
      <x:c r="G6" s="2"/>
      <x:c r="H6" s="2"/>
    </x:row>
    <x:row r="7" ht="41" customHeight="1">
      <x:c r="A7" s="2" t="str">
        <x:v>Технологический коэффициент</x:v>
      </x:c>
      <x:c r="B7" s="16" t="n">
        <x:f>'Параметры'!B5</x:f>
        <x:v>1</x:v>
      </x:c>
      <x:c r="C7" s="2" t="str">
        <x:v>коэфф.</x:v>
      </x:c>
      <x:c r="D7" s="2"/>
      <x:c r="E7" s="8" t="str">
        <x:f>'Себестоимость'!A7</x:f>
        <x:v>Backend-разработчик</x:v>
      </x:c>
      <x:c r="F7" s="16" t="n">
        <x:f>'Себестоимость'!G7</x:f>
        <x:v>489670</x:v>
      </x:c>
      <x:c r="G7" s="2"/>
      <x:c r="H7" s="2"/>
    </x:row>
    <x:row r="8" ht="41" customHeight="1">
      <x:c r="A8" s="2" t="str">
        <x:v>Коэффициент внешних рисков</x:v>
      </x:c>
      <x:c r="B8" s="16" t="n">
        <x:f>'Параметры'!B6</x:f>
        <x:v>1</x:v>
      </x:c>
      <x:c r="C8" s="2" t="str">
        <x:v>коэфф.</x:v>
      </x:c>
      <x:c r="D8" s="2"/>
      <x:c r="E8" s="8" t="str">
        <x:f>'Себестоимость'!A8</x:f>
        <x:v>Frontend-разработчик</x:v>
      </x:c>
      <x:c r="F8" s="16" t="n">
        <x:f>'Себестоимость'!G8</x:f>
        <x:v>375650</x:v>
      </x:c>
      <x:c r="G8" s="2"/>
      <x:c r="H8" s="2"/>
    </x:row>
    <x:row r="9" ht="41" customHeight="1">
      <x:c r="A9" s="2" t="str">
        <x:v>Разработка и тестирование</x:v>
      </x:c>
      <x:c r="B9" s="16" t="n">
        <x:f>'Прецеденты'!B35</x:f>
        <x:v>1366</x:v>
      </x:c>
      <x:c r="C9" s="2" t="str">
        <x:v>ч</x:v>
      </x:c>
      <x:c r="D9" s="2"/>
      <x:c r="E9" s="8" t="str">
        <x:f>'Себестоимость'!A9</x:f>
        <x:v>UI/UX-дизайнер</x:v>
      </x:c>
      <x:c r="F9" s="16" t="n">
        <x:f>'Себестоимость'!G9</x:f>
        <x:v>129770</x:v>
      </x:c>
      <x:c r="G9" s="2"/>
      <x:c r="H9" s="2"/>
    </x:row>
    <x:row r="10" ht="41" customHeight="1">
      <x:c r="A10" s="2" t="str">
        <x:v>Управление проектом</x:v>
      </x:c>
      <x:c r="B10" s="16" t="n">
        <x:f>'Прецеденты'!B36</x:f>
        <x:v>341.5</x:v>
      </x:c>
      <x:c r="C10" s="2" t="str">
        <x:v>ч</x:v>
      </x:c>
      <x:c r="D10" s="2"/>
      <x:c r="E10" s="8" t="str">
        <x:f>'Себестоимость'!A10</x:f>
        <x:v>QA-инженер</x:v>
      </x:c>
      <x:c r="F10" s="16" t="n">
        <x:f>'Себестоимость'!G10</x:f>
        <x:v>174165</x:v>
      </x:c>
      <x:c r="G10" s="2"/>
      <x:c r="H10" s="2"/>
    </x:row>
    <x:row r="11" ht="25" customHeight="1">
      <x:c r="A11" s="2" t="str">
        <x:v>Дополнительная документация</x:v>
      </x:c>
      <x:c r="B11" s="16" t="n">
        <x:f>'Прецеденты'!B37</x:f>
        <x:v>24</x:v>
      </x:c>
      <x:c r="C11" s="2" t="str">
        <x:v>ч</x:v>
      </x:c>
      <x:c r="D11" s="2"/>
      <x:c r="E11" s="2"/>
      <x:c r="F11" s="2"/>
      <x:c r="G11" s="2"/>
      <x:c r="H11" s="2"/>
    </x:row>
    <x:row r="12" ht="25" customHeight="1">
      <x:c r="A12" s="2" t="str">
        <x:v>Развёртывание</x:v>
      </x:c>
      <x:c r="B12" s="16" t="n">
        <x:f>'Прецеденты'!B38</x:f>
        <x:v>16</x:v>
      </x:c>
      <x:c r="C12" s="2" t="str">
        <x:v>ч</x:v>
      </x:c>
      <x:c r="D12" s="2"/>
      <x:c r="E12" s="2"/>
      <x:c r="F12" s="2"/>
      <x:c r="G12" s="2"/>
      <x:c r="H12" s="2"/>
    </x:row>
    <x:row r="13" ht="25" customHeight="1">
      <x:c r="A13" s="14" t="str">
        <x:v>Итоговые трудозатраты</x:v>
      </x:c>
      <x:c r="B13" s="17" t="n">
        <x:f>'Прецеденты'!B39</x:f>
        <x:v>1747.5</x:v>
      </x:c>
      <x:c r="C13" s="14" t="str">
        <x:v>ч</x:v>
      </x:c>
      <x:c r="D13" s="2"/>
      <x:c r="E13" s="2"/>
      <x:c r="F13" s="2"/>
      <x:c r="G13" s="2"/>
      <x:c r="H13" s="2"/>
    </x:row>
    <x:row r="14" ht="25" customHeight="1">
      <x:c r="A14" s="2" t="str">
        <x:v>Расчётная продолжительность</x:v>
      </x:c>
      <x:c r="B14" s="16" t="n">
        <x:f>'Прецеденты'!B41</x:f>
        <x:v>5.139311574138431</x:v>
      </x:c>
      <x:c r="C14" s="2" t="str">
        <x:v>мес.</x:v>
      </x:c>
      <x:c r="D14" s="2"/>
      <x:c r="E14" s="2"/>
      <x:c r="F14" s="2"/>
      <x:c r="G14" s="2"/>
      <x:c r="H14" s="2"/>
    </x:row>
    <x:row r="15" ht="25" customHeight="1">
      <x:c r="A15" s="2" t="str">
        <x:v>Средняя загрузка всех работ</x:v>
      </x:c>
      <x:c r="B15" s="16" t="n">
        <x:f>'Прецеденты'!B43</x:f>
        <x:v>2.1251630383649145</x:v>
      </x:c>
      <x:c r="C15" s="2" t="str">
        <x:v>FTE</x:v>
      </x:c>
      <x:c r="D15" s="2"/>
      <x:c r="E15" s="2"/>
      <x:c r="F15" s="2"/>
      <x:c r="G15" s="2"/>
      <x:c r="H15" s="2"/>
    </x:row>
    <x:row r="16" ht="25" customHeight="1">
      <x:c r="A16" s="2" t="str">
        <x:v>Загрузка при плане 6 месяцев</x:v>
      </x:c>
      <x:c r="B16" s="16" t="n">
        <x:f>'Прецеденты'!B44</x:f>
        <x:v>1.8203125</x:v>
      </x:c>
      <x:c r="C16" s="2" t="str">
        <x:v>FTE</x:v>
      </x:c>
      <x:c r="D16" s="2"/>
      <x:c r="E16" s="2"/>
      <x:c r="F16" s="2"/>
      <x:c r="G16" s="2"/>
      <x:c r="H16" s="2"/>
    </x:row>
    <x:row r="17" ht="25" customHeight="1">
      <x:c r="A17" s="2" t="str">
        <x:v>Трудовая себестоимость</x:v>
      </x:c>
      <x:c r="B17" s="16" t="n">
        <x:f>'Себестоимость'!D24</x:f>
        <x:v>2035930</x:v>
      </x:c>
      <x:c r="C17" s="2" t="str">
        <x:v>руб.</x:v>
      </x:c>
      <x:c r="D17" s="2"/>
      <x:c r="E17" s="2"/>
      <x:c r="F17" s="2"/>
      <x:c r="G17" s="2"/>
      <x:c r="H17" s="2"/>
    </x:row>
    <x:row r="18" ht="25" customHeight="1">
      <x:c r="A18" s="2" t="str">
        <x:v>Прямые расходы</x:v>
      </x:c>
      <x:c r="B18" s="16" t="n">
        <x:f>'Себестоимость'!D25</x:f>
        <x:v>22200</x:v>
      </x:c>
      <x:c r="C18" s="2" t="str">
        <x:v>руб.</x:v>
      </x:c>
      <x:c r="D18" s="2"/>
      <x:c r="E18" s="2"/>
      <x:c r="F18" s="2"/>
      <x:c r="G18" s="2"/>
      <x:c r="H18" s="2"/>
    </x:row>
    <x:row r="19" ht="25" customHeight="1">
      <x:c r="A19" s="14" t="str">
        <x:v>Себестоимость проекта</x:v>
      </x:c>
      <x:c r="B19" s="17" t="n">
        <x:f>'Себестоимость'!D26</x:f>
        <x:v>2058130</x:v>
      </x:c>
      <x:c r="C19" s="14" t="str">
        <x:v>руб.</x:v>
      </x:c>
      <x:c r="D19" s="2"/>
      <x:c r="E19" s="2"/>
      <x:c r="F19" s="2"/>
      <x:c r="G19" s="2"/>
      <x:c r="H19" s="2"/>
    </x:row>
    <x:row r="20" ht="25" customHeight="1">
      <x:c r="A20" s="2" t="str">
        <x:v>Отдельный резерв бюджета</x:v>
      </x:c>
      <x:c r="B20" s="16" t="n">
        <x:f>'Себестоимость'!D27</x:f>
        <x:v>205813</x:v>
      </x:c>
      <x:c r="C20" s="2" t="str">
        <x:v>руб.</x:v>
      </x:c>
      <x:c r="D20" s="2"/>
      <x:c r="E20" s="2"/>
      <x:c r="F20" s="2"/>
      <x:c r="G20" s="2"/>
      <x:c r="H20" s="2"/>
    </x:row>
    <x:row r="21" ht="25" customHeight="1">
      <x:c r="A21" s="14" t="str">
        <x:v>Бюджет с резервом</x:v>
      </x:c>
      <x:c r="B21" s="17" t="n">
        <x:f>'Себестоимость'!D28</x:f>
        <x:v>2263943</x:v>
      </x:c>
      <x:c r="C21" s="14" t="str">
        <x:v>руб.</x:v>
      </x:c>
      <x:c r="D21" s="2"/>
      <x:c r="E21" s="2"/>
      <x:c r="F21" s="2"/>
      <x:c r="G21" s="2"/>
      <x:c r="H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</x:row>
    <x:row r="24" ht="25" customHeight="1">
      <x:c r="A24" s="2" t="str">
        <x:v>Проект: ООО Супер Академия. Махрова А.А., группа ЗПИуд-123.</x:v>
      </x:c>
      <x:c r="B24" s="2"/>
      <x:c r="C24" s="2"/>
      <x:c r="D24" s="2"/>
      <x:c r="E24" s="2"/>
      <x:c r="F24" s="2"/>
      <x:c r="G24" s="2"/>
      <x:c r="H24" s="2"/>
    </x:row>
    <x:row r="25" ht="25" customHeight="1">
      <x:c r="A25" s="2" t="str">
        <x:v>Agile Scrum; 6 участников; план 23.03.2026–23.09.2026.</x:v>
      </x:c>
      <x:c r="B25" s="2"/>
      <x:c r="C25" s="2"/>
      <x:c r="D25" s="2"/>
      <x:c r="E25" s="2"/>
      <x:c r="F25" s="2"/>
      <x:c r="G25" s="2"/>
      <x:c r="H25" s="2"/>
    </x:row>
    <x:row r="26" ht="25" customHeight="1">
      <x:c r="A26" s="2" t="str">
        <x:v>Учебная плановая модель. Фактические затраты и проведение опроса не подтверждены.</x:v>
      </x:c>
      <x:c r="B26" s="2"/>
      <x:c r="C26" s="2"/>
      <x:c r="D26" s="2"/>
      <x:c r="E26" s="2"/>
      <x:c r="F26" s="2"/>
      <x:c r="G26" s="2"/>
      <x:c r="H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</x:row>
    <x:row r="28" ht="25" customHeight="1">
      <x:c r="A28" s="2" t="str">
        <x:v>Контроль долей</x:v>
      </x:c>
      <x:c r="B28" s="2" t="n">
        <x:f>SUM('Параметры'!C20:C25)</x:f>
        <x:v>1</x:v>
      </x:c>
      <x:c r="C28" s="2"/>
      <x:c r="D28" s="2"/>
      <x:c r="E28" s="2"/>
      <x:c r="F28" s="2"/>
      <x:c r="G28" s="2"/>
      <x:c r="H28" s="2"/>
    </x:row>
    <x:row r="29" ht="25" customHeight="1">
      <x:c r="A29" s="2" t="str">
        <x:v>Контроль часов по ролям</x:v>
      </x:c>
      <x:c r="B29" s="2" t="n">
        <x:f>'Себестоимость'!E12-'Прецеденты'!B39</x:f>
        <x:v>0</x:v>
      </x:c>
      <x:c r="C29" s="2"/>
      <x:c r="D29" s="2"/>
      <x:c r="E29" s="2"/>
      <x:c r="F29" s="2"/>
      <x:c r="G29" s="2"/>
      <x:c r="H29" s="2"/>
    </x:row>
  </x:sheetData>
  <x:pageMargins left="0.7" right="0.7" top="0.75" bottom="0.75" header="0.3" footer="0.3"/>
  <x:drawing xmlns:r="http://schemas.openxmlformats.org/officeDocument/2006/relationships" r:id="Rd09bdc928c804931"/>
</x:worksheet>
</file>

<file path=xl/worksheets/sheet2.xml><?xml version="1.0" encoding="utf-8"?>
<x:worksheet xmlns:x="http://schemas.openxmlformats.org/spreadsheetml/2006/main">
  <x:sheetPr>
    <x:tabColor rgb="FF739AB8"/>
  </x:sheetPr>
  <x:sheetViews>
    <x:sheetView showGridLines="0" workbookViewId="0"/>
  </x:sheetViews>
  <x:sheetFormatPr defaultRowHeight="15"/>
  <x:cols>
    <x:col min="1" max="1" width="45" hidden="0" customWidth="1"/>
    <x:col min="2" max="2" width="22" hidden="0" customWidth="1"/>
    <x:col min="3" max="3" width="20" hidden="0" customWidth="1"/>
    <x:col min="4" max="4" width="36" hidden="0" customWidth="1"/>
    <x:col min="5" max="5" width="64" hidden="0" customWidth="1"/>
    <x:col min="6" max="6" width="14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3" t="str">
        <x:v>АС Студенты   Исходные параметры</x:v>
      </x:c>
      <x:c r="B2" s="2"/>
      <x:c r="C2" s="2"/>
      <x:c r="D2" s="2"/>
      <x:c r="E2" s="2"/>
      <x:c r="F2" s="2"/>
    </x:row>
    <x:row r="3" ht="25" customHeight="1">
      <x:c r="A3" s="2"/>
      <x:c r="B3" s="2"/>
      <x:c r="C3" s="2"/>
      <x:c r="D3" s="2"/>
      <x:c r="E3" s="2"/>
      <x:c r="F3" s="2"/>
    </x:row>
    <x:row r="4" ht="38" customHeight="1">
      <x:c r="A4" s="7" t="str">
        <x:v>Параметр</x:v>
      </x:c>
      <x:c r="B4" s="7" t="str">
        <x:v>Значение</x:v>
      </x:c>
      <x:c r="C4" s="7" t="str">
        <x:v>Единица</x:v>
      </x:c>
      <x:c r="D4" s="7" t="str">
        <x:v>Основание</x:v>
      </x:c>
      <x:c r="E4" s="2"/>
      <x:c r="F4" s="2"/>
    </x:row>
    <x:row r="5" ht="47" customHeight="1">
      <x:c r="A5" s="8" t="str">
        <x:v>Технологический коэффициент</x:v>
      </x:c>
      <x:c r="B5" s="10" t="n">
        <x:v>1</x:v>
      </x:c>
      <x:c r="C5" s="8" t="str">
        <x:v>коэфф.</x:v>
      </x:c>
      <x:c r="D5" s="8" t="str">
        <x:v>Нейтральный K для React и Python</x:v>
      </x:c>
      <x:c r="E5" s="2"/>
      <x:c r="F5" s="2"/>
    </x:row>
    <x:row r="6" ht="47" customHeight="1">
      <x:c r="A6" s="8" t="str">
        <x:v>Коэффициент внешних рисков</x:v>
      </x:c>
      <x:c r="B6" s="10" t="n">
        <x:v>1</x:v>
      </x:c>
      <x:c r="C6" s="8" t="str">
        <x:v>коэфф.</x:v>
      </x:c>
      <x:c r="D6" s="8" t="str">
        <x:v>Внешние системы и спецоборудование не заявлены</x:v>
      </x:c>
      <x:c r="E6" s="2"/>
      <x:c r="F6" s="2"/>
    </x:row>
    <x:row r="7" ht="47" customHeight="1">
      <x:c r="A7" s="8" t="str">
        <x:v>Управление от базовых часов после Kтех</x:v>
      </x:c>
      <x:c r="B7" s="11" t="n">
        <x:v>0.25</x:v>
      </x:c>
      <x:c r="C7" s="8" t="str">
        <x:v>доля</x:v>
      </x:c>
      <x:c r="D7" s="8" t="str">
        <x:v>25% по заданию</x:v>
      </x:c>
      <x:c r="E7" s="2"/>
      <x:c r="F7" s="2"/>
    </x:row>
    <x:row r="8" ht="47" customHeight="1">
      <x:c r="A8" s="8" t="str">
        <x:v>Дополнительное руководство пользователя</x:v>
      </x:c>
      <x:c r="B8" s="10" t="n">
        <x:v>24</x:v>
      </x:c>
      <x:c r="C8" s="8" t="str">
        <x:v>ч</x:v>
      </x:c>
      <x:c r="D8" s="8" t="str">
        <x:v>Учебное допущение сверх минимальной документации</x:v>
      </x:c>
      <x:c r="E8" s="2"/>
      <x:c r="F8" s="2"/>
    </x:row>
    <x:row r="9" ht="47" customHeight="1">
      <x:c r="A9" s="8" t="str">
        <x:v>Развёртывание и передача пилота</x:v>
      </x:c>
      <x:c r="B9" s="10" t="n">
        <x:v>16</x:v>
      </x:c>
      <x:c r="C9" s="8" t="str">
        <x:v>ч</x:v>
      </x:c>
      <x:c r="D9" s="8" t="str">
        <x:v>Учебное допущение</x:v>
      </x:c>
      <x:c r="E9" s="2"/>
      <x:c r="F9" s="2"/>
    </x:row>
    <x:row r="10" ht="47" customHeight="1">
      <x:c r="A10" s="8" t="str">
        <x:v>Часов в человеко месяце</x:v>
      </x:c>
      <x:c r="B10" s="10" t="n">
        <x:v>160</x:v>
      </x:c>
      <x:c r="C10" s="8" t="str">
        <x:v>ч</x:v>
      </x:c>
      <x:c r="D10" s="8" t="str">
        <x:v>Расчётный фонд времени</x:v>
      </x:c>
      <x:c r="E10" s="2"/>
      <x:c r="F10" s="2"/>
    </x:row>
    <x:row r="11" ht="47" customHeight="1">
      <x:c r="A11" s="8" t="str">
        <x:v>Коэффициент Боэма</x:v>
      </x:c>
      <x:c r="B11" s="10" t="n">
        <x:v>2.5</x:v>
      </x:c>
      <x:c r="C11" s="8" t="str">
        <x:v>коэфф.</x:v>
      </x:c>
      <x:c r="D11" s="8" t="str">
        <x:v>Формула задания</x:v>
      </x:c>
      <x:c r="E11" s="2"/>
      <x:c r="F11" s="2"/>
    </x:row>
    <x:row r="12" ht="47" customHeight="1">
      <x:c r="A12" s="8" t="str">
        <x:v>Степень в формуле Боэма</x:v>
      </x:c>
      <x:c r="B12" s="33" t="n">
        <x:v>0.3333333333333333</x:v>
      </x:c>
      <x:c r="C12" s="8" t="str">
        <x:v>степень</x:v>
      </x:c>
      <x:c r="D12" s="8" t="str">
        <x:v>Кубический корень</x:v>
      </x:c>
      <x:c r="E12" s="2"/>
      <x:c r="F12" s="2"/>
    </x:row>
    <x:row r="13" ht="47" customHeight="1">
      <x:c r="A13" s="8" t="str">
        <x:v>Плановая продолжительность</x:v>
      </x:c>
      <x:c r="B13" s="10" t="n">
        <x:v>6</x:v>
      </x:c>
      <x:c r="C13" s="8" t="str">
        <x:v>мес.</x:v>
      </x:c>
      <x:c r="D13" s="8" t="str">
        <x:v>23.03.2026 — 23.09.2026</x:v>
      </x:c>
      <x:c r="E13" s="2"/>
      <x:c r="F13" s="2"/>
    </x:row>
    <x:row r="14" ht="47" customHeight="1">
      <x:c r="A14" s="8" t="str">
        <x:v>Резерв бюджета сверх себестоимости</x:v>
      </x:c>
      <x:c r="B14" s="11" t="n">
        <x:v>0.1</x:v>
      </x:c>
      <x:c r="C14" s="8" t="str">
        <x:v>доля</x:v>
      </x:c>
      <x:c r="D14" s="8" t="str">
        <x:v>Учебное допущение; отдельный резерв, без часов</x:v>
      </x:c>
      <x:c r="E14" s="2"/>
      <x:c r="F14" s="2"/>
    </x:row>
    <x:row r="15" ht="25" customHeight="1">
      <x:c r="A15" s="2"/>
      <x:c r="B15" s="2"/>
      <x:c r="C15" s="2"/>
      <x:c r="D15" s="2"/>
      <x:c r="E15" s="2"/>
      <x:c r="F15" s="2"/>
    </x:row>
    <x:row r="16" ht="25" customHeight="1">
      <x:c r="A16" s="2"/>
      <x:c r="B16" s="2"/>
      <x:c r="C16" s="2"/>
      <x:c r="D16" s="2"/>
      <x:c r="E16" s="2"/>
      <x:c r="F16" s="2"/>
    </x:row>
    <x:row r="17" ht="25" customHeight="1">
      <x:c r="A17" s="2" t="str">
        <x:v>Жёлтые ячейки — учебные вводимые значения. Синим выделены входы.</x:v>
      </x:c>
      <x:c r="B17" s="2"/>
      <x:c r="C17" s="2"/>
      <x:c r="D17" s="2"/>
      <x:c r="E17" s="2"/>
      <x:c r="F17" s="2"/>
    </x:row>
    <x:row r="18" ht="25" customHeight="1">
      <x:c r="A18" s="2"/>
      <x:c r="B18" s="2"/>
      <x:c r="C18" s="2"/>
      <x:c r="D18" s="2"/>
      <x:c r="E18" s="2"/>
      <x:c r="F18" s="2"/>
    </x:row>
    <x:row r="19" ht="38" customHeight="1">
      <x:c r="A19" s="7" t="str">
        <x:v>Роль</x:v>
      </x:c>
      <x:c r="B19" s="7" t="str">
        <x:v>Участник</x:v>
      </x:c>
      <x:c r="C19" s="7" t="str">
        <x:v>Доля основных часов</x:v>
      </x:c>
      <x:c r="D19" s="7" t="str">
        <x:v>Ставка руб/ч</x:v>
      </x:c>
      <x:c r="E19" s="7" t="str">
        <x:v>Источник ставки</x:v>
      </x:c>
      <x:c r="F19" s="2"/>
    </x:row>
    <x:row r="20" ht="44" customHeight="1">
      <x:c r="A20" s="8" t="str">
        <x:v>Руководитель проекта</x:v>
      </x:c>
      <x:c r="B20" s="8" t="str">
        <x:v>Махрова А.А.</x:v>
      </x:c>
      <x:c r="C20" s="11" t="n">
        <x:v>0</x:v>
      </x:c>
      <x:c r="D20" s="12" t="n">
        <x:v>1450</x:v>
      </x:c>
      <x:c r="E20" s="8" t="str">
        <x:v>Учебная полная стоимость часа; не тариф заказчика</x:v>
      </x:c>
      <x:c r="F20" s="2"/>
    </x:row>
    <x:row r="21" ht="44" customHeight="1">
      <x:c r="A21" s="8" t="str">
        <x:v>Тимлид и системный аналитик</x:v>
      </x:c>
      <x:c r="B21" s="8" t="str">
        <x:v>Иванов С.П.</x:v>
      </x:c>
      <x:c r="C21" s="11" t="n">
        <x:v>0.2</x:v>
      </x:c>
      <x:c r="D21" s="12" t="n">
        <x:v>1250</x:v>
      </x:c>
      <x:c r="E21" s="8" t="str">
        <x:v>Учебная полная стоимость часа; не тариф заказчика</x:v>
      </x:c>
      <x:c r="F21" s="2"/>
    </x:row>
    <x:row r="22" ht="44" customHeight="1">
      <x:c r="A22" s="8" t="str">
        <x:v>Backend-разработчик</x:v>
      </x:c>
      <x:c r="B22" s="8" t="str">
        <x:v>Пупкин И.О.</x:v>
      </x:c>
      <x:c r="C22" s="11" t="n">
        <x:v>0.3</x:v>
      </x:c>
      <x:c r="D22" s="12" t="n">
        <x:v>1150</x:v>
      </x:c>
      <x:c r="E22" s="8" t="str">
        <x:v>Учебная полная стоимость часа; не тариф заказчика</x:v>
      </x:c>
      <x:c r="F22" s="2"/>
    </x:row>
    <x:row r="23" ht="44" customHeight="1">
      <x:c r="A23" s="8" t="str">
        <x:v>Frontend-разработчик</x:v>
      </x:c>
      <x:c r="B23" s="8" t="str">
        <x:v>Сидорова Е.В.</x:v>
      </x:c>
      <x:c r="C23" s="11" t="n">
        <x:v>0.25</x:v>
      </x:c>
      <x:c r="D23" s="12" t="n">
        <x:v>1100</x:v>
      </x:c>
      <x:c r="E23" s="8" t="str">
        <x:v>Учебная полная стоимость часа; не тариф заказчика</x:v>
      </x:c>
      <x:c r="F23" s="2"/>
    </x:row>
    <x:row r="24" ht="44" customHeight="1">
      <x:c r="A24" s="8" t="str">
        <x:v>UI/UX-дизайнер</x:v>
      </x:c>
      <x:c r="B24" s="8" t="str">
        <x:v>Козлова М.Д.</x:v>
      </x:c>
      <x:c r="C24" s="11" t="n">
        <x:v>0.1</x:v>
      </x:c>
      <x:c r="D24" s="12" t="n">
        <x:v>950</x:v>
      </x:c>
      <x:c r="E24" s="8" t="str">
        <x:v>Учебная полная стоимость часа; не тариф заказчика</x:v>
      </x:c>
      <x:c r="F24" s="2"/>
    </x:row>
    <x:row r="25" ht="44" customHeight="1">
      <x:c r="A25" s="8" t="str">
        <x:v>QA-инженер</x:v>
      </x:c>
      <x:c r="B25" s="8" t="str">
        <x:v>Петров А.И.</x:v>
      </x:c>
      <x:c r="C25" s="11" t="n">
        <x:v>0.15</x:v>
      </x:c>
      <x:c r="D25" s="12" t="n">
        <x:v>850</x:v>
      </x:c>
      <x:c r="E25" s="8" t="str">
        <x:v>Учебная полная стоимость часа; не тариф заказчика</x:v>
      </x:c>
      <x:c r="F25" s="2"/>
    </x:row>
    <x:row r="26" ht="25" customHeight="1">
      <x:c r="A26" s="2"/>
      <x:c r="B26" s="2"/>
      <x:c r="C26" s="2"/>
      <x:c r="D26" s="2"/>
      <x:c r="E26" s="2"/>
      <x:c r="F26" s="2"/>
    </x:row>
    <x:row r="27" ht="25" customHeight="1">
      <x:c r="A27" s="2" t="str">
        <x:v>Полная ставка включает труд и связанные с ним расходы работодателя.</x:v>
      </x:c>
      <x:c r="B27" s="2"/>
      <x:c r="C27" s="2"/>
      <x:c r="D27" s="2"/>
      <x:c r="E27" s="2"/>
      <x:c r="F27" s="2"/>
    </x:row>
    <x:row r="28" ht="25" customHeight="1">
      <x:c r="A28" s="2" t="str">
        <x:v>Дополнительные начисления и накладные повторно не добавляются.</x:v>
      </x:c>
      <x:c r="B28" s="2"/>
      <x:c r="C28" s="2"/>
      <x:c r="D28" s="2"/>
      <x:c r="E28" s="2"/>
      <x:c r="F28" s="2"/>
    </x:row>
    <x:row r="29" ht="25" customHeight="1">
      <x:c r="A29" s="2"/>
      <x:c r="B29" s="2"/>
      <x:c r="C29" s="2"/>
      <x:c r="D29" s="2"/>
      <x:c r="E29" s="2"/>
      <x:c r="F29" s="2"/>
    </x:row>
    <x:row r="30" ht="38" customHeight="1">
      <x:c r="A30" s="7" t="str">
        <x:v>Ранг</x:v>
      </x:c>
      <x:c r="B30" s="7" t="str">
        <x:v>Часы</x:v>
      </x:c>
      <x:c r="C30" s="7" t="str">
        <x:v>Источник</x:v>
      </x:c>
      <x:c r="D30" s="2"/>
      <x:c r="E30" s="2"/>
      <x:c r="F30" s="2"/>
    </x:row>
    <x:row r="31" ht="25" customHeight="1">
      <x:c r="A31" s="2" t="n">
        <x:v>1</x:v>
      </x:c>
      <x:c r="B31" s="2" t="n">
        <x:v>32</x:v>
      </x:c>
      <x:c r="C31" s="2" t="str">
        <x:v>Таблица 3 задания</x:v>
      </x:c>
      <x:c r="D31" s="2"/>
      <x:c r="E31" s="2"/>
      <x:c r="F31" s="2"/>
    </x:row>
    <x:row r="32" ht="25" customHeight="1">
      <x:c r="A32" s="2" t="n">
        <x:v>2</x:v>
      </x:c>
      <x:c r="B32" s="2" t="n">
        <x:v>45</x:v>
      </x:c>
      <x:c r="C32" s="2" t="str">
        <x:v>Таблица 3 задания</x:v>
      </x:c>
      <x:c r="D32" s="2"/>
      <x:c r="E32" s="2"/>
      <x:c r="F32" s="2"/>
    </x:row>
    <x:row r="33" ht="25" customHeight="1">
      <x:c r="A33" s="2" t="n">
        <x:v>3</x:v>
      </x:c>
      <x:c r="B33" s="2" t="n">
        <x:v>58</x:v>
      </x:c>
      <x:c r="C33" s="2" t="str">
        <x:v>Таблица 3 задания</x:v>
      </x:c>
      <x:c r="D33" s="2"/>
      <x:c r="E33" s="2"/>
      <x:c r="F33" s="2"/>
    </x:row>
    <x:row r="34" ht="25" customHeight="1">
      <x:c r="A34" s="2" t="n">
        <x:v>4</x:v>
      </x:c>
      <x:c r="B34" s="2" t="n">
        <x:v>71</x:v>
      </x:c>
      <x:c r="C34" s="2" t="str">
        <x:v>Таблица 3 задания</x:v>
      </x:c>
      <x:c r="D34" s="2"/>
      <x:c r="E34" s="2"/>
      <x:c r="F34" s="2"/>
    </x:row>
    <x:row r="35" ht="25" customHeight="1">
      <x:c r="A35" s="2" t="n">
        <x:v>5</x:v>
      </x:c>
      <x:c r="B35" s="2" t="n">
        <x:v>94</x:v>
      </x:c>
      <x:c r="C35" s="2" t="str">
        <x:v>Таблица 3 задания</x:v>
      </x:c>
      <x:c r="D35" s="2"/>
      <x:c r="E35" s="2"/>
      <x:c r="F35" s="2"/>
    </x:row>
    <x:row r="36" ht="25" customHeight="1">
      <x:c r="A36" s="2"/>
      <x:c r="B36" s="2"/>
      <x:c r="C36" s="2"/>
      <x:c r="D36" s="2"/>
      <x:c r="E36" s="2"/>
      <x:c r="F36" s="2"/>
    </x:row>
    <x:row r="37" ht="25" customHeight="1">
      <x:c r="A37" s="2" t="str">
        <x:v>Источники</x:v>
      </x:c>
      <x:c r="B37" s="2"/>
      <x:c r="C37" s="2"/>
      <x:c r="D37" s="2"/>
      <x:c r="E37" s="2"/>
      <x:c r="F37" s="2"/>
    </x:row>
    <x:row r="38" ht="25" customHeight="1">
      <x:c r="A38" s="2" t="str">
        <x:v>Задание 2 сем.; предыдущие ЛР 1 и ЛР 2 АС Студенты; lb_2.pdf и TaskFlow.xlsx — образцы структуры.</x:v>
      </x:c>
      <x:c r="B38" s="2"/>
      <x:c r="C38" s="2"/>
      <x:c r="D38" s="2"/>
      <x:c r="E38" s="2"/>
      <x:c r="F3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49" hidden="0" customWidth="1"/>
    <x:col min="3" max="3" width="10" hidden="0" customWidth="1"/>
    <x:col min="4" max="4" width="17" hidden="0" customWidth="1"/>
    <x:col min="5" max="5" width="16" hidden="0" customWidth="1"/>
    <x:col min="6" max="6" width="20" hidden="0" customWidth="1"/>
    <x:col min="7" max="7" width="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25" customHeight="1">
      <x:c r="A2" s="3" t="str">
        <x:v>АС Студенты   Оценка 24 прецедентов</x:v>
      </x:c>
      <x:c r="B2" s="2"/>
      <x:c r="C2" s="2"/>
      <x:c r="D2" s="2"/>
      <x:c r="E2" s="2"/>
      <x:c r="F2" s="2"/>
      <x:c r="G2" s="2"/>
    </x:row>
    <x:row r="3" ht="25" customHeight="1">
      <x:c r="A3" s="2"/>
      <x:c r="B3" s="2"/>
      <x:c r="C3" s="2"/>
      <x:c r="D3" s="2"/>
      <x:c r="E3" s="2"/>
      <x:c r="F3" s="2"/>
      <x:c r="G3" s="2"/>
    </x:row>
    <x:row r="4" ht="38" customHeight="1">
      <x:c r="A4" s="7" t="str">
        <x:v>ID</x:v>
      </x:c>
      <x:c r="B4" s="7" t="str">
        <x:v>Прецедент</x:v>
      </x:c>
      <x:c r="C4" s="7" t="str">
        <x:v>Ранг</x:v>
      </x:c>
      <x:c r="D4" s="7" t="str">
        <x:v>Базовые часы</x:v>
      </x:c>
      <x:c r="E4" s="7" t="str">
        <x:v>K технологии</x:v>
      </x:c>
      <x:c r="F4" s="7" t="str">
        <x:v>Часы после K</x:v>
      </x:c>
      <x:c r="G4" s="7" t="str">
        <x:v>Обоснование ранга</x:v>
      </x:c>
    </x:row>
    <x:row r="5" ht="48" customHeight="1">
      <x:c r="A5" s="8" t="str">
        <x:v>UC-01</x:v>
      </x:c>
      <x:c r="B5" s="8" t="str">
        <x:v>Добавление нового студента</x:v>
      </x:c>
      <x:c r="C5" s="10" t="n">
        <x:v>2</x:v>
      </x:c>
      <x:c r="D5" s="15" t="n">
        <x:f>VLOOKUP(C5,'Параметры'!$A$31:$B$35,2,FALSE)</x:f>
        <x:v>45</x:v>
      </x:c>
      <x:c r="E5" s="15" t="n">
        <x:f>'Параметры'!$B$5</x:f>
        <x:v>1</x:v>
      </x:c>
      <x:c r="F5" s="15" t="n">
        <x:f>D5*E5</x:f>
        <x:v>45</x:v>
      </x:c>
      <x:c r="G5" s="8" t="str">
        <x:v>Проверка обязательных полей и уникальности записи</x:v>
      </x:c>
    </x:row>
    <x:row r="6" ht="48" customHeight="1">
      <x:c r="A6" s="8" t="str">
        <x:v>UC-02</x:v>
      </x:c>
      <x:c r="B6" s="8" t="str">
        <x:v>Редактирование данных студента</x:v>
      </x:c>
      <x:c r="C6" s="10" t="n">
        <x:v>2</x:v>
      </x:c>
      <x:c r="D6" s="15" t="n">
        <x:f>VLOOKUP(C6,'Параметры'!$A$31:$B$35,2,FALSE)</x:f>
        <x:v>45</x:v>
      </x:c>
      <x:c r="E6" s="15" t="n">
        <x:f>'Параметры'!$B$5</x:f>
        <x:v>1</x:v>
      </x:c>
      <x:c r="F6" s="15" t="n">
        <x:f>D6*E6</x:f>
        <x:v>45</x:v>
      </x:c>
      <x:c r="G6" s="8" t="str">
        <x:v>Валидация изменений персональных данных</x:v>
      </x:c>
    </x:row>
    <x:row r="7" ht="48" customHeight="1">
      <x:c r="A7" s="8" t="str">
        <x:v>UC-03</x:v>
      </x:c>
      <x:c r="B7" s="8" t="str">
        <x:v>Удаление студента</x:v>
      </x:c>
      <x:c r="C7" s="10" t="n">
        <x:v>2</x:v>
      </x:c>
      <x:c r="D7" s="15" t="n">
        <x:f>VLOOKUP(C7,'Параметры'!$A$31:$B$35,2,FALSE)</x:f>
        <x:v>45</x:v>
      </x:c>
      <x:c r="E7" s="15" t="n">
        <x:f>'Параметры'!$B$5</x:f>
        <x:v>1</x:v>
      </x:c>
      <x:c r="F7" s="15" t="n">
        <x:f>D7*E7</x:f>
        <x:v>45</x:v>
      </x:c>
      <x:c r="G7" s="8" t="str">
        <x:v>Контроль зависимых оценок и посещений</x:v>
      </x:c>
    </x:row>
    <x:row r="8" ht="48" customHeight="1">
      <x:c r="A8" s="8" t="str">
        <x:v>UC-04</x:v>
      </x:c>
      <x:c r="B8" s="8" t="str">
        <x:v>Поиск студента по параметрам</x:v>
      </x:c>
      <x:c r="C8" s="10" t="n">
        <x:v>2</x:v>
      </x:c>
      <x:c r="D8" s="15" t="n">
        <x:f>VLOOKUP(C8,'Параметры'!$A$31:$B$35,2,FALSE)</x:f>
        <x:v>45</x:v>
      </x:c>
      <x:c r="E8" s="15" t="n">
        <x:f>'Параметры'!$B$5</x:f>
        <x:v>1</x:v>
      </x:c>
      <x:c r="F8" s="15" t="n">
        <x:f>D8*E8</x:f>
        <x:v>45</x:v>
      </x:c>
      <x:c r="G8" s="8" t="str">
        <x:v>Комбинация фильтров без изменения данных</x:v>
      </x:c>
    </x:row>
    <x:row r="9" ht="48" customHeight="1">
      <x:c r="A9" s="8" t="str">
        <x:v>UC-05</x:v>
      </x:c>
      <x:c r="B9" s="8" t="str">
        <x:v>Создание учебной группы</x:v>
      </x:c>
      <x:c r="C9" s="10" t="n">
        <x:v>2</x:v>
      </x:c>
      <x:c r="D9" s="15" t="n">
        <x:f>VLOOKUP(C9,'Параметры'!$A$31:$B$35,2,FALSE)</x:f>
        <x:v>45</x:v>
      </x:c>
      <x:c r="E9" s="15" t="n">
        <x:f>'Параметры'!$B$5</x:f>
        <x:v>1</x:v>
      </x:c>
      <x:c r="F9" s="15" t="n">
        <x:f>D9*E9</x:f>
        <x:v>45</x:v>
      </x:c>
      <x:c r="G9" s="8" t="str">
        <x:v>Проверка уникального обозначения группы</x:v>
      </x:c>
    </x:row>
    <x:row r="10" ht="48" customHeight="1">
      <x:c r="A10" s="8" t="str">
        <x:v>UC-06</x:v>
      </x:c>
      <x:c r="B10" s="8" t="str">
        <x:v>Редактирование информации о группе</x:v>
      </x:c>
      <x:c r="C10" s="10" t="n">
        <x:v>2</x:v>
      </x:c>
      <x:c r="D10" s="15" t="n">
        <x:f>VLOOKUP(C10,'Параметры'!$A$31:$B$35,2,FALSE)</x:f>
        <x:v>45</x:v>
      </x:c>
      <x:c r="E10" s="15" t="n">
        <x:f>'Параметры'!$B$5</x:f>
        <x:v>1</x:v>
      </x:c>
      <x:c r="F10" s="15" t="n">
        <x:f>D10*E10</x:f>
        <x:v>45</x:v>
      </x:c>
      <x:c r="G10" s="8" t="str">
        <x:v>Проверка параметров учебной группы</x:v>
      </x:c>
    </x:row>
    <x:row r="11" ht="48" customHeight="1">
      <x:c r="A11" s="8" t="str">
        <x:v>UC-07</x:v>
      </x:c>
      <x:c r="B11" s="8" t="str">
        <x:v>Удаление учебной группы</x:v>
      </x:c>
      <x:c r="C11" s="10" t="n">
        <x:v>2</x:v>
      </x:c>
      <x:c r="D11" s="15" t="n">
        <x:f>VLOOKUP(C11,'Параметры'!$A$31:$B$35,2,FALSE)</x:f>
        <x:v>45</x:v>
      </x:c>
      <x:c r="E11" s="15" t="n">
        <x:f>'Параметры'!$B$5</x:f>
        <x:v>1</x:v>
      </x:c>
      <x:c r="F11" s="15" t="n">
        <x:f>D11*E11</x:f>
        <x:v>45</x:v>
      </x:c>
      <x:c r="G11" s="8" t="str">
        <x:v>Контроль студентов и других зависимостей</x:v>
      </x:c>
    </x:row>
    <x:row r="12" ht="48" customHeight="1">
      <x:c r="A12" s="8" t="str">
        <x:v>UC-08</x:v>
      </x:c>
      <x:c r="B12" s="8" t="str">
        <x:v>Назначение студента в группу</x:v>
      </x:c>
      <x:c r="C12" s="10" t="n">
        <x:v>3</x:v>
      </x:c>
      <x:c r="D12" s="15" t="n">
        <x:f>VLOOKUP(C12,'Параметры'!$A$31:$B$35,2,FALSE)</x:f>
        <x:v>58</x:v>
      </x:c>
      <x:c r="E12" s="15" t="n">
        <x:f>'Параметры'!$B$5</x:f>
        <x:v>1</x:v>
      </x:c>
      <x:c r="F12" s="15" t="n">
        <x:f>D12*E12</x:f>
        <x:v>58</x:v>
      </x:c>
      <x:c r="G12" s="8" t="str">
        <x:v>Связь студент–группа и контроль перевода</x:v>
      </x:c>
    </x:row>
    <x:row r="13" ht="48" customHeight="1">
      <x:c r="A13" s="8" t="str">
        <x:v>UC-09</x:v>
      </x:c>
      <x:c r="B13" s="8" t="str">
        <x:v>Ввод оценки по дисциплине</x:v>
      </x:c>
      <x:c r="C13" s="10" t="n">
        <x:v>3</x:v>
      </x:c>
      <x:c r="D13" s="15" t="n">
        <x:f>VLOOKUP(C13,'Параметры'!$A$31:$B$35,2,FALSE)</x:f>
        <x:v>58</x:v>
      </x:c>
      <x:c r="E13" s="15" t="n">
        <x:f>'Параметры'!$B$5</x:f>
        <x:v>1</x:v>
      </x:c>
      <x:c r="F13" s="15" t="n">
        <x:f>D13*E13</x:f>
        <x:v>58</x:v>
      </x:c>
      <x:c r="G13" s="8" t="str">
        <x:v>Проверка дисциплины, студента и допустимой оценки</x:v>
      </x:c>
    </x:row>
    <x:row r="14" ht="48" customHeight="1">
      <x:c r="A14" s="8" t="str">
        <x:v>UC-10</x:v>
      </x:c>
      <x:c r="B14" s="8" t="str">
        <x:v>Изменение/удаление оценки</x:v>
      </x:c>
      <x:c r="C14" s="10" t="n">
        <x:v>2</x:v>
      </x:c>
      <x:c r="D14" s="15" t="n">
        <x:f>VLOOKUP(C14,'Параметры'!$A$31:$B$35,2,FALSE)</x:f>
        <x:v>45</x:v>
      </x:c>
      <x:c r="E14" s="15" t="n">
        <x:f>'Параметры'!$B$5</x:f>
        <x:v>1</x:v>
      </x:c>
      <x:c r="F14" s="15" t="n">
        <x:f>D14*E14</x:f>
        <x:v>45</x:v>
      </x:c>
      <x:c r="G14" s="8" t="str">
        <x:v>Проверка права изменения и согласованности журнала</x:v>
      </x:c>
    </x:row>
    <x:row r="15" ht="48" customHeight="1">
      <x:c r="A15" s="8" t="str">
        <x:v>UC-11</x:v>
      </x:c>
      <x:c r="B15" s="8" t="str">
        <x:v>Просмотр оценок студента/группы</x:v>
      </x:c>
      <x:c r="C15" s="10" t="n">
        <x:v>3</x:v>
      </x:c>
      <x:c r="D15" s="15" t="n">
        <x:f>VLOOKUP(C15,'Параметры'!$A$31:$B$35,2,FALSE)</x:f>
        <x:v>58</x:v>
      </x:c>
      <x:c r="E15" s="15" t="n">
        <x:f>'Параметры'!$B$5</x:f>
        <x:v>1</x:v>
      </x:c>
      <x:c r="F15" s="15" t="n">
        <x:f>D15*E15</x:f>
        <x:v>58</x:v>
      </x:c>
      <x:c r="G15" s="8" t="str">
        <x:v>Выборки по студенту, группе и дисциплине</x:v>
      </x:c>
    </x:row>
    <x:row r="16" ht="48" customHeight="1">
      <x:c r="A16" s="8" t="str">
        <x:v>UC-12</x:v>
      </x:c>
      <x:c r="B16" s="8" t="str">
        <x:v>Расчёт среднего балла</x:v>
      </x:c>
      <x:c r="C16" s="10" t="n">
        <x:v>3</x:v>
      </x:c>
      <x:c r="D16" s="15" t="n">
        <x:f>VLOOKUP(C16,'Параметры'!$A$31:$B$35,2,FALSE)</x:f>
        <x:v>58</x:v>
      </x:c>
      <x:c r="E16" s="15" t="n">
        <x:f>'Параметры'!$B$5</x:f>
        <x:v>1</x:v>
      </x:c>
      <x:c r="F16" s="15" t="n">
        <x:f>D16*E16</x:f>
        <x:v>58</x:v>
      </x:c>
      <x:c r="G16" s="8" t="str">
        <x:v>Агрегация оценок и корректная обработка пустых данных</x:v>
      </x:c>
    </x:row>
    <x:row r="17" ht="48" customHeight="1">
      <x:c r="A17" s="8" t="str">
        <x:v>UC-13</x:v>
      </x:c>
      <x:c r="B17" s="8" t="str">
        <x:v>Регистрация посещения</x:v>
      </x:c>
      <x:c r="C17" s="10" t="n">
        <x:v>3</x:v>
      </x:c>
      <x:c r="D17" s="15" t="n">
        <x:f>VLOOKUP(C17,'Параметры'!$A$31:$B$35,2,FALSE)</x:f>
        <x:v>58</x:v>
      </x:c>
      <x:c r="E17" s="15" t="n">
        <x:f>'Параметры'!$B$5</x:f>
        <x:v>1</x:v>
      </x:c>
      <x:c r="F17" s="15" t="n">
        <x:f>D17*E17</x:f>
        <x:v>58</x:v>
      </x:c>
      <x:c r="G17" s="8" t="str">
        <x:v>Связь студента с занятием и датой</x:v>
      </x:c>
    </x:row>
    <x:row r="18" ht="48" customHeight="1">
      <x:c r="A18" s="8" t="str">
        <x:v>UC-14</x:v>
      </x:c>
      <x:c r="B18" s="8" t="str">
        <x:v>Фиксация отсутствия и причины</x:v>
      </x:c>
      <x:c r="C18" s="10" t="n">
        <x:v>3</x:v>
      </x:c>
      <x:c r="D18" s="15" t="n">
        <x:f>VLOOKUP(C18,'Параметры'!$A$31:$B$35,2,FALSE)</x:f>
        <x:v>58</x:v>
      </x:c>
      <x:c r="E18" s="15" t="n">
        <x:f>'Параметры'!$B$5</x:f>
        <x:v>1</x:v>
      </x:c>
      <x:c r="F18" s="15" t="n">
        <x:f>D18*E18</x:f>
        <x:v>58</x:v>
      </x:c>
      <x:c r="G18" s="8" t="str">
        <x:v>Различение пропуска и уважительной причины</x:v>
      </x:c>
    </x:row>
    <x:row r="19" ht="48" customHeight="1">
      <x:c r="A19" s="8" t="str">
        <x:v>UC-15</x:v>
      </x:c>
      <x:c r="B19" s="8" t="str">
        <x:v>Формирование статистики посещаемости</x:v>
      </x:c>
      <x:c r="C19" s="10" t="n">
        <x:v>4</x:v>
      </x:c>
      <x:c r="D19" s="15" t="n">
        <x:f>VLOOKUP(C19,'Параметры'!$A$31:$B$35,2,FALSE)</x:f>
        <x:v>71</x:v>
      </x:c>
      <x:c r="E19" s="15" t="n">
        <x:f>'Параметры'!$B$5</x:f>
        <x:v>1</x:v>
      </x:c>
      <x:c r="F19" s="15" t="n">
        <x:f>D19*E19</x:f>
        <x:v>71</x:v>
      </x:c>
      <x:c r="G19" s="8" t="str">
        <x:v>Агрегация за период по группам и причинам</x:v>
      </x:c>
    </x:row>
    <x:row r="20" ht="48" customHeight="1">
      <x:c r="A20" s="8" t="str">
        <x:v>UC-16</x:v>
      </x:c>
      <x:c r="B20" s="8" t="str">
        <x:v>Создание расписания</x:v>
      </x:c>
      <x:c r="C20" s="10" t="n">
        <x:v>4</x:v>
      </x:c>
      <x:c r="D20" s="15" t="n">
        <x:f>VLOOKUP(C20,'Параметры'!$A$31:$B$35,2,FALSE)</x:f>
        <x:v>71</x:v>
      </x:c>
      <x:c r="E20" s="15" t="n">
        <x:f>'Параметры'!$B$5</x:f>
        <x:v>1</x:v>
      </x:c>
      <x:c r="F20" s="15" t="n">
        <x:f>D20*E20</x:f>
        <x:v>71</x:v>
      </x:c>
      <x:c r="G20" s="8" t="str">
        <x:v>Проверка пересечений занятий и связей справочников</x:v>
      </x:c>
    </x:row>
    <x:row r="21" ht="48" customHeight="1">
      <x:c r="A21" s="8" t="str">
        <x:v>UC-17</x:v>
      </x:c>
      <x:c r="B21" s="8" t="str">
        <x:v>Редактирование расписания</x:v>
      </x:c>
      <x:c r="C21" s="10" t="n">
        <x:v>3</x:v>
      </x:c>
      <x:c r="D21" s="15" t="n">
        <x:f>VLOOKUP(C21,'Параметры'!$A$31:$B$35,2,FALSE)</x:f>
        <x:v>58</x:v>
      </x:c>
      <x:c r="E21" s="15" t="n">
        <x:f>'Параметры'!$B$5</x:f>
        <x:v>1</x:v>
      </x:c>
      <x:c r="F21" s="15" t="n">
        <x:f>D21*E21</x:f>
        <x:v>58</x:v>
      </x:c>
      <x:c r="G21" s="8" t="str">
        <x:v>Проверка конфликтов при изменении занятия</x:v>
      </x:c>
    </x:row>
    <x:row r="22" ht="48" customHeight="1">
      <x:c r="A22" s="8" t="str">
        <x:v>UC-18</x:v>
      </x:c>
      <x:c r="B22" s="8" t="str">
        <x:v>Отображение расписания по группе</x:v>
      </x:c>
      <x:c r="C22" s="10" t="n">
        <x:v>3</x:v>
      </x:c>
      <x:c r="D22" s="15" t="n">
        <x:f>VLOOKUP(C22,'Параметры'!$A$31:$B$35,2,FALSE)</x:f>
        <x:v>58</x:v>
      </x:c>
      <x:c r="E22" s="15" t="n">
        <x:f>'Параметры'!$B$5</x:f>
        <x:v>1</x:v>
      </x:c>
      <x:c r="F22" s="15" t="n">
        <x:f>D22*E22</x:f>
        <x:v>58</x:v>
      </x:c>
      <x:c r="G22" s="8" t="str">
        <x:v>Фильтрация занятий группы за выбранный период</x:v>
      </x:c>
    </x:row>
    <x:row r="23" ht="48" customHeight="1">
      <x:c r="A23" s="8" t="str">
        <x:v>UC-19</x:v>
      </x:c>
      <x:c r="B23" s="8" t="str">
        <x:v>Формирование отчёта по успеваемости</x:v>
      </x:c>
      <x:c r="C23" s="10" t="n">
        <x:v>4</x:v>
      </x:c>
      <x:c r="D23" s="15" t="n">
        <x:f>VLOOKUP(C23,'Параметры'!$A$31:$B$35,2,FALSE)</x:f>
        <x:v>71</x:v>
      </x:c>
      <x:c r="E23" s="15" t="n">
        <x:f>'Параметры'!$B$5</x:f>
        <x:v>1</x:v>
      </x:c>
      <x:c r="F23" s="15" t="n">
        <x:f>D23*E23</x:f>
        <x:v>71</x:v>
      </x:c>
      <x:c r="G23" s="8" t="str">
        <x:v>Сводные показатели с проверкой итогов</x:v>
      </x:c>
    </x:row>
    <x:row r="24" ht="48" customHeight="1">
      <x:c r="A24" s="8" t="str">
        <x:v>UC-20</x:v>
      </x:c>
      <x:c r="B24" s="8" t="str">
        <x:v>Формирование отчёта по посещаемости</x:v>
      </x:c>
      <x:c r="C24" s="10" t="n">
        <x:v>4</x:v>
      </x:c>
      <x:c r="D24" s="15" t="n">
        <x:f>VLOOKUP(C24,'Параметры'!$A$31:$B$35,2,FALSE)</x:f>
        <x:v>71</x:v>
      </x:c>
      <x:c r="E24" s="15" t="n">
        <x:f>'Параметры'!$B$5</x:f>
        <x:v>1</x:v>
      </x:c>
      <x:c r="F24" s="15" t="n">
        <x:f>D24*E24</x:f>
        <x:v>71</x:v>
      </x:c>
      <x:c r="G24" s="8" t="str">
        <x:v>Согласованность итогов с журналом посещаемости</x:v>
      </x:c>
    </x:row>
    <x:row r="25" ht="48" customHeight="1">
      <x:c r="A25" s="8" t="str">
        <x:v>UC-21</x:v>
      </x:c>
      <x:c r="B25" s="8" t="str">
        <x:v>Формирование отчёта по группам</x:v>
      </x:c>
      <x:c r="C25" s="10" t="n">
        <x:v>3</x:v>
      </x:c>
      <x:c r="D25" s="15" t="n">
        <x:f>VLOOKUP(C25,'Параметры'!$A$31:$B$35,2,FALSE)</x:f>
        <x:v>58</x:v>
      </x:c>
      <x:c r="E25" s="15" t="n">
        <x:f>'Параметры'!$B$5</x:f>
        <x:v>1</x:v>
      </x:c>
      <x:c r="F25" s="15" t="n">
        <x:f>D25*E25</x:f>
        <x:v>58</x:v>
      </x:c>
      <x:c r="G25" s="8" t="str">
        <x:v>Сводка состава и учебных показателей групп</x:v>
      </x:c>
    </x:row>
    <x:row r="26" ht="48" customHeight="1">
      <x:c r="A26" s="8" t="str">
        <x:v>UC-22</x:v>
      </x:c>
      <x:c r="B26" s="8" t="str">
        <x:v>Экспорт отчётов в PDF/Excel</x:v>
      </x:c>
      <x:c r="C26" s="10" t="n">
        <x:v>4</x:v>
      </x:c>
      <x:c r="D26" s="15" t="n">
        <x:f>VLOOKUP(C26,'Параметры'!$A$31:$B$35,2,FALSE)</x:f>
        <x:v>71</x:v>
      </x:c>
      <x:c r="E26" s="15" t="n">
        <x:f>'Параметры'!$B$5</x:f>
        <x:v>1</x:v>
      </x:c>
      <x:c r="F26" s="15" t="n">
        <x:f>D26*E26</x:f>
        <x:v>71</x:v>
      </x:c>
      <x:c r="G26" s="8" t="str">
        <x:v>Два формата, кириллица, структура и сверка итогов</x:v>
      </x:c>
    </x:row>
    <x:row r="27" ht="48" customHeight="1">
      <x:c r="A27" s="8" t="str">
        <x:v>UC-23</x:v>
      </x:c>
      <x:c r="B27" s="8" t="str">
        <x:v>Авторизация пользователя</x:v>
      </x:c>
      <x:c r="C27" s="10" t="n">
        <x:v>3</x:v>
      </x:c>
      <x:c r="D27" s="15" t="n">
        <x:f>VLOOKUP(C27,'Параметры'!$A$31:$B$35,2,FALSE)</x:f>
        <x:v>58</x:v>
      </x:c>
      <x:c r="E27" s="15" t="n">
        <x:f>'Параметры'!$B$5</x:f>
        <x:v>1</x:v>
      </x:c>
      <x:c r="F27" s="15" t="n">
        <x:f>D27*E27</x:f>
        <x:v>58</x:v>
      </x:c>
      <x:c r="G27" s="8" t="str">
        <x:v>Проверка учётных данных и состояния сессии</x:v>
      </x:c>
    </x:row>
    <x:row r="28" ht="48" customHeight="1">
      <x:c r="A28" s="8" t="str">
        <x:v>UC-24</x:v>
      </x:c>
      <x:c r="B28" s="8" t="str">
        <x:v>Разграничение прав доступа</x:v>
      </x:c>
      <x:c r="C28" s="10" t="n">
        <x:v>4</x:v>
      </x:c>
      <x:c r="D28" s="15" t="n">
        <x:f>VLOOKUP(C28,'Параметры'!$A$31:$B$35,2,FALSE)</x:f>
        <x:v>71</x:v>
      </x:c>
      <x:c r="E28" s="15" t="n">
        <x:f>'Параметры'!$B$5</x:f>
        <x:v>1</x:v>
      </x:c>
      <x:c r="F28" s="15" t="n">
        <x:f>D28*E28</x:f>
        <x:v>71</x:v>
      </x:c>
      <x:c r="G28" s="8" t="str">
        <x:v>Единые правила доступа на клиенте и в API</x:v>
      </x:c>
    </x:row>
    <x:row r="29" ht="25" customHeight="1">
      <x:c r="A29" s="2"/>
      <x:c r="B29" s="2"/>
      <x:c r="C29" s="2"/>
      <x:c r="D29" s="16"/>
      <x:c r="E29" s="16"/>
      <x:c r="F29" s="16"/>
      <x:c r="G29" s="2"/>
    </x:row>
    <x:row r="30" ht="25" customHeight="1">
      <x:c r="A30" s="14"/>
      <x:c r="B30" s="14" t="str">
        <x:v>Всего по 24 прецедентам</x:v>
      </x:c>
      <x:c r="C30" s="14"/>
      <x:c r="D30" s="17" t="n">
        <x:f>SUM(D5:D28)</x:f>
        <x:v>1366</x:v>
      </x:c>
      <x:c r="E30" s="17"/>
      <x:c r="F30" s="17" t="n">
        <x:f>SUM(F5:F28)</x:f>
        <x:v>1366</x:v>
      </x:c>
      <x:c r="G30" s="14"/>
    </x:row>
    <x:row r="31" ht="25" customHeight="1">
      <x:c r="A31" s="2"/>
      <x:c r="B31" s="2"/>
      <x:c r="C31" s="2"/>
      <x:c r="D31" s="2"/>
      <x:c r="E31" s="2"/>
      <x:c r="F31" s="2"/>
      <x:c r="G31" s="2"/>
    </x:row>
    <x:row r="32" ht="25" customHeight="1">
      <x:c r="A32" s="2"/>
      <x:c r="B32" s="2"/>
      <x:c r="C32" s="2"/>
      <x:c r="D32" s="2"/>
      <x:c r="E32" s="2"/>
      <x:c r="F32" s="2"/>
      <x:c r="G32" s="2"/>
    </x:row>
    <x:row r="33" ht="25" customHeight="1">
      <x:c r="A33" s="2"/>
      <x:c r="B33" s="2"/>
      <x:c r="C33" s="2"/>
      <x:c r="D33" s="2"/>
      <x:c r="E33" s="2"/>
      <x:c r="F33" s="2"/>
      <x:c r="G33" s="2"/>
    </x:row>
    <x:row r="34" ht="30" customHeight="1">
      <x:c r="A34" s="2" t="str">
        <x:v>H тех</x:v>
      </x:c>
      <x:c r="B34" s="16" t="n">
        <x:f>F30</x:f>
        <x:v>1366</x:v>
      </x:c>
      <x:c r="C34" s="2"/>
      <x:c r="D34" s="2" t="str">
        <x:v>Разработка после Kтех</x:v>
      </x:c>
      <x:c r="E34" s="2"/>
      <x:c r="F34" s="2"/>
      <x:c r="G34" s="2"/>
    </x:row>
    <x:row r="35" ht="30" customHeight="1">
      <x:c r="A35" s="2" t="str">
        <x:v>H риск</x:v>
      </x:c>
      <x:c r="B35" s="16" t="n">
        <x:f>B34*'Параметры'!B6</x:f>
        <x:v>1366</x:v>
      </x:c>
      <x:c r="C35" s="2"/>
      <x:c r="D35" s="2" t="str">
        <x:v>Разработка после Kриска</x:v>
      </x:c>
      <x:c r="E35" s="2"/>
      <x:c r="F35" s="2"/>
      <x:c r="G35" s="2"/>
    </x:row>
    <x:row r="36" ht="30" customHeight="1">
      <x:c r="A36" s="2" t="str">
        <x:v>H РП</x:v>
      </x:c>
      <x:c r="B36" s="16" t="n">
        <x:f>B34*'Параметры'!B7</x:f>
        <x:v>341.5</x:v>
      </x:c>
      <x:c r="C36" s="2"/>
      <x:c r="D36" s="2" t="str">
        <x:v>Управление проектом</x:v>
      </x:c>
      <x:c r="E36" s="2"/>
      <x:c r="F36" s="2"/>
      <x:c r="G36" s="2"/>
    </x:row>
    <x:row r="37" ht="30" customHeight="1">
      <x:c r="A37" s="2" t="str">
        <x:v>H док</x:v>
      </x:c>
      <x:c r="B37" s="16" t="n">
        <x:f>'Параметры'!B8</x:f>
        <x:v>24</x:v>
      </x:c>
      <x:c r="C37" s="2"/>
      <x:c r="D37" s="2" t="str">
        <x:v>Дополнительная документация</x:v>
      </x:c>
      <x:c r="E37" s="2"/>
      <x:c r="F37" s="2"/>
      <x:c r="G37" s="2"/>
    </x:row>
    <x:row r="38" ht="30" customHeight="1">
      <x:c r="A38" s="2" t="str">
        <x:v>H внедр</x:v>
      </x:c>
      <x:c r="B38" s="16" t="n">
        <x:f>'Параметры'!B9</x:f>
        <x:v>16</x:v>
      </x:c>
      <x:c r="C38" s="2"/>
      <x:c r="D38" s="2" t="str">
        <x:v>Развёртывание</x:v>
      </x:c>
      <x:c r="E38" s="2"/>
      <x:c r="F38" s="2"/>
      <x:c r="G38" s="2"/>
    </x:row>
    <x:row r="39" ht="30" customHeight="1">
      <x:c r="A39" s="14" t="str">
        <x:v>H всего</x:v>
      </x:c>
      <x:c r="B39" s="17" t="n">
        <x:f>SUM(B35:B38)</x:f>
        <x:v>1747.5</x:v>
      </x:c>
      <x:c r="C39" s="2"/>
      <x:c r="D39" s="2" t="str">
        <x:v>Все трудозатраты</x:v>
      </x:c>
      <x:c r="E39" s="2"/>
      <x:c r="F39" s="2"/>
      <x:c r="G39" s="2"/>
    </x:row>
    <x:row r="40" ht="30" customHeight="1">
      <x:c r="A40" s="2" t="str">
        <x:v>E Боэм</x:v>
      </x:c>
      <x:c r="B40" s="16" t="n">
        <x:f>(B35+B37)/'Параметры'!B10</x:f>
        <x:v>8.6875</x:v>
      </x:c>
      <x:c r="C40" s="2"/>
      <x:c r="D40" s="2" t="str">
        <x:v>Оценка для Боэма чел мес</x:v>
      </x:c>
      <x:c r="E40" s="2"/>
      <x:c r="F40" s="2"/>
      <x:c r="G40" s="2"/>
    </x:row>
    <x:row r="41" ht="30" customHeight="1">
      <x:c r="A41" s="2" t="str">
        <x:v>T Боэм</x:v>
      </x:c>
      <x:c r="B41" s="16" t="n">
        <x:f>'Параметры'!B11*POWER(B40,'Параметры'!B12)</x:f>
        <x:v>5.139311574138431</x:v>
      </x:c>
      <x:c r="C41" s="2"/>
      <x:c r="D41" s="2" t="str">
        <x:v>Продолжительность Боэма мес</x:v>
      </x:c>
      <x:c r="E41" s="2"/>
      <x:c r="F41" s="2"/>
      <x:c r="G41" s="2"/>
    </x:row>
    <x:row r="42" ht="30" customHeight="1">
      <x:c r="A42" s="2" t="str">
        <x:v>FTE тех</x:v>
      </x:c>
      <x:c r="B42" s="16" t="n">
        <x:f>B40/B41</x:f>
        <x:v>1.6904015011886873</x:v>
      </x:c>
      <x:c r="C42" s="2"/>
      <x:c r="D42" s="2" t="str">
        <x:v>FTE разработки и документации</x:v>
      </x:c>
      <x:c r="E42" s="2"/>
      <x:c r="F42" s="2"/>
      <x:c r="G42" s="2"/>
    </x:row>
    <x:row r="43" ht="30" customHeight="1">
      <x:c r="A43" s="2" t="str">
        <x:v>FTE все</x:v>
      </x:c>
      <x:c r="B43" s="16" t="n">
        <x:f>B39/(B41*'Параметры'!B10)</x:f>
        <x:v>2.1251630383649145</x:v>
      </x:c>
      <x:c r="C43" s="2"/>
      <x:c r="D43" s="2" t="str">
        <x:v>FTE всех работ при сроке Боэма</x:v>
      </x:c>
      <x:c r="E43" s="2"/>
      <x:c r="F43" s="2"/>
      <x:c r="G43" s="2"/>
    </x:row>
    <x:row r="44" ht="30" customHeight="1">
      <x:c r="A44" s="2" t="str">
        <x:v>FTE план</x:v>
      </x:c>
      <x:c r="B44" s="16" t="n">
        <x:f>B39/('Параметры'!B13*'Параметры'!B10)</x:f>
        <x:v>1.8203125</x:v>
      </x:c>
      <x:c r="C44" s="2"/>
      <x:c r="D44" s="2" t="str">
        <x:v>FTE всех работ при сроке проекта</x:v>
      </x:c>
      <x:c r="E44" s="2"/>
      <x:c r="F44" s="2"/>
      <x:c r="G44" s="2"/>
    </x:row>
    <x:row r="45" ht="25" customHeight="1">
      <x:c r="A45" s="2"/>
      <x:c r="B45" s="2"/>
      <x:c r="C45" s="2"/>
      <x:c r="D45" s="2"/>
      <x:c r="E45" s="2"/>
      <x:c r="F45" s="2"/>
      <x:c r="G45" s="2"/>
    </x:row>
    <x:row r="46" ht="25" customHeight="1">
      <x:c r="A46" s="2"/>
      <x:c r="B46" s="2"/>
      <x:c r="C46" s="2"/>
      <x:c r="D46" s="2"/>
      <x:c r="E46" s="2"/>
      <x:c r="F46" s="2"/>
      <x:c r="G46" s="2"/>
    </x:row>
  </x:sheetData>
  <x:dataValidations count="1">
    <x:dataValidation type="whole" operator="between" sqref="C5:C28">
      <x:formula1>1</x:formula1>
      <x:formula2>5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54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3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3" hidden="0" customWidth="1"/>
    <x:col min="17" max="17" width="14" hidden="0" customWidth="1"/>
    <x:col min="18" max="18" width="14" hidden="0" customWidth="1"/>
    <x:col min="19" max="19" width="15" hidden="0" customWidth="1"/>
    <x:col min="20" max="20" width="12" hidden="0" customWidth="1"/>
    <x:col min="21" max="21" width="1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5" customHeight="1">
      <x:c r="A2" s="3" t="str">
        <x:v>АС Студенты   Учебная экспертная оценка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5" customHeight="1">
      <x:c r="A3" s="2" t="str">
        <x:v>Оценки моделируются по шести ролям; подтверждённый опрос участников не проводился.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38" customHeight="1">
      <x:c r="A4" s="7" t="str">
        <x:v>ID</x:v>
      </x:c>
      <x:c r="B4" s="7" t="str">
        <x:v>Риск</x:v>
      </x:c>
      <x:c r="C4" s="7" t="str">
        <x:v>P РП</x:v>
      </x:c>
      <x:c r="D4" s="7" t="str">
        <x:v>P ТЛ</x:v>
      </x:c>
      <x:c r="E4" s="7" t="str">
        <x:v>P BE</x:v>
      </x:c>
      <x:c r="F4" s="7" t="str">
        <x:v>P FE</x:v>
      </x:c>
      <x:c r="G4" s="7" t="str">
        <x:v>P UX</x:v>
      </x:c>
      <x:c r="H4" s="7" t="str">
        <x:v>P QA</x:v>
      </x:c>
      <x:c r="I4" s="2"/>
      <x:c r="J4" s="7" t="str">
        <x:v>I РП</x:v>
      </x:c>
      <x:c r="K4" s="7" t="str">
        <x:v>I ТЛ</x:v>
      </x:c>
      <x:c r="L4" s="7" t="str">
        <x:v>I BE</x:v>
      </x:c>
      <x:c r="M4" s="7" t="str">
        <x:v>I FE</x:v>
      </x:c>
      <x:c r="N4" s="7" t="str">
        <x:v>I UX</x:v>
      </x:c>
      <x:c r="O4" s="7" t="str">
        <x:v>I QA</x:v>
      </x:c>
      <x:c r="P4" s="2"/>
      <x:c r="Q4" s="7" t="str">
        <x:v>P среднее</x:v>
      </x:c>
      <x:c r="R4" s="7" t="str">
        <x:v>I среднее</x:v>
      </x:c>
      <x:c r="S4" s="7" t="str">
        <x:v>Рейтинг</x:v>
      </x:c>
      <x:c r="T4" s="7" t="str">
        <x:v>Позиция</x:v>
      </x:c>
      <x:c r="U4" s="7" t="str">
        <x:v>Топ 5</x:v>
      </x:c>
    </x:row>
    <x:row r="5" ht="55" customHeight="1">
      <x:c r="A5" s="2" t="str">
        <x:v>R-01</x:v>
      </x:c>
      <x:c r="B5" s="8" t="str">
        <x:v>Нереалистичные сроки и объём проекта</x:v>
      </x:c>
      <x:c r="C5" s="20" t="n">
        <x:v>4</x:v>
      </x:c>
      <x:c r="D5" s="20" t="n">
        <x:v>5</x:v>
      </x:c>
      <x:c r="E5" s="20" t="n">
        <x:v>4</x:v>
      </x:c>
      <x:c r="F5" s="20" t="n">
        <x:v>4</x:v>
      </x:c>
      <x:c r="G5" s="20" t="n">
        <x:v>4</x:v>
      </x:c>
      <x:c r="H5" s="20" t="n">
        <x:v>4</x:v>
      </x:c>
      <x:c r="I5" s="2"/>
      <x:c r="J5" s="20" t="n">
        <x:v>5</x:v>
      </x:c>
      <x:c r="K5" s="20" t="n">
        <x:v>5</x:v>
      </x:c>
      <x:c r="L5" s="20" t="n">
        <x:v>5</x:v>
      </x:c>
      <x:c r="M5" s="20" t="n">
        <x:v>4</x:v>
      </x:c>
      <x:c r="N5" s="20" t="n">
        <x:v>4</x:v>
      </x:c>
      <x:c r="O5" s="20" t="n">
        <x:v>5</x:v>
      </x:c>
      <x:c r="P5" s="2"/>
      <x:c r="Q5" s="21" t="n">
        <x:f>AVERAGE(C5:H5)</x:f>
        <x:v>4.166666666666667</x:v>
      </x:c>
      <x:c r="R5" s="21" t="n">
        <x:f>AVERAGE(J5:O5)</x:f>
        <x:v>4.666666666666667</x:v>
      </x:c>
      <x:c r="S5" s="21" t="n">
        <x:f>Q5*R5</x:f>
        <x:v>19.444444444444446</x:v>
      </x:c>
      <x:c r="T5" s="2" t="n">
        <x:f>RANK(S5,$S$5:$S$14,0)+COUNTIF($S$5:S5,S5)-1</x:f>
        <x:v>1</x:v>
      </x:c>
      <x:c r="U5" s="2" t="str">
        <x:f>IF(T5&lt;=5,"Да","Нет")</x:f>
        <x:v>Да</x:v>
      </x:c>
    </x:row>
    <x:row r="6" ht="55" customHeight="1">
      <x:c r="A6" s="2" t="str">
        <x:v>R-02</x:v>
      </x:c>
      <x:c r="B6" s="8" t="str">
        <x:v>Изменение требований в процессе разработки</x:v>
      </x:c>
      <x:c r="C6" s="20" t="n">
        <x:v>4</x:v>
      </x:c>
      <x:c r="D6" s="20" t="n">
        <x:v>4</x:v>
      </x:c>
      <x:c r="E6" s="20" t="n">
        <x:v>4</x:v>
      </x:c>
      <x:c r="F6" s="20" t="n">
        <x:v>4</x:v>
      </x:c>
      <x:c r="G6" s="20" t="n">
        <x:v>4</x:v>
      </x:c>
      <x:c r="H6" s="20" t="n">
        <x:v>4</x:v>
      </x:c>
      <x:c r="I6" s="2"/>
      <x:c r="J6" s="20" t="n">
        <x:v>4</x:v>
      </x:c>
      <x:c r="K6" s="20" t="n">
        <x:v>5</x:v>
      </x:c>
      <x:c r="L6" s="20" t="n">
        <x:v>4</x:v>
      </x:c>
      <x:c r="M6" s="20" t="n">
        <x:v>4</x:v>
      </x:c>
      <x:c r="N6" s="20" t="n">
        <x:v>4</x:v>
      </x:c>
      <x:c r="O6" s="20" t="n">
        <x:v>4</x:v>
      </x:c>
      <x:c r="P6" s="2"/>
      <x:c r="Q6" s="21" t="n">
        <x:f>AVERAGE(C6:H6)</x:f>
        <x:v>4</x:v>
      </x:c>
      <x:c r="R6" s="21" t="n">
        <x:f>AVERAGE(J6:O6)</x:f>
        <x:v>4.166666666666667</x:v>
      </x:c>
      <x:c r="S6" s="21" t="n">
        <x:f>Q6*R6</x:f>
        <x:v>16.666666666666668</x:v>
      </x:c>
      <x:c r="T6" s="2" t="n">
        <x:f>RANK(S6,$S$5:$S$14,0)+COUNTIF($S$5:S6,S6)-1</x:f>
        <x:v>2</x:v>
      </x:c>
      <x:c r="U6" s="2" t="str">
        <x:f>IF(T6&lt;=5,"Да","Нет")</x:f>
        <x:v>Да</x:v>
      </x:c>
    </x:row>
    <x:row r="7" ht="55" customHeight="1">
      <x:c r="A7" s="2" t="str">
        <x:v>R-03</x:v>
      </x:c>
      <x:c r="B7" s="8" t="str">
        <x:v>Несоответствие реализованной функциональности требованиям</x:v>
      </x:c>
      <x:c r="C7" s="20" t="n">
        <x:v>3</x:v>
      </x:c>
      <x:c r="D7" s="20" t="n">
        <x:v>3</x:v>
      </x:c>
      <x:c r="E7" s="20" t="n">
        <x:v>3</x:v>
      </x:c>
      <x:c r="F7" s="20" t="n">
        <x:v>3</x:v>
      </x:c>
      <x:c r="G7" s="20" t="n">
        <x:v>3</x:v>
      </x:c>
      <x:c r="H7" s="20" t="n">
        <x:v>4</x:v>
      </x:c>
      <x:c r="I7" s="2"/>
      <x:c r="J7" s="20" t="n">
        <x:v>5</x:v>
      </x:c>
      <x:c r="K7" s="20" t="n">
        <x:v>5</x:v>
      </x:c>
      <x:c r="L7" s="20" t="n">
        <x:v>4</x:v>
      </x:c>
      <x:c r="M7" s="20" t="n">
        <x:v>4</x:v>
      </x:c>
      <x:c r="N7" s="20" t="n">
        <x:v>5</x:v>
      </x:c>
      <x:c r="O7" s="20" t="n">
        <x:v>5</x:v>
      </x:c>
      <x:c r="P7" s="2"/>
      <x:c r="Q7" s="21" t="n">
        <x:f>AVERAGE(C7:H7)</x:f>
        <x:v>3.1666666666666665</x:v>
      </x:c>
      <x:c r="R7" s="21" t="n">
        <x:f>AVERAGE(J7:O7)</x:f>
        <x:v>4.666666666666667</x:v>
      </x:c>
      <x:c r="S7" s="21" t="n">
        <x:f>Q7*R7</x:f>
        <x:v>14.777777777777779</x:v>
      </x:c>
      <x:c r="T7" s="2" t="n">
        <x:f>RANK(S7,$S$5:$S$14,0)+COUNTIF($S$5:S7,S7)-1</x:f>
        <x:v>3</x:v>
      </x:c>
      <x:c r="U7" s="2" t="str">
        <x:f>IF(T7&lt;=5,"Да","Нет")</x:f>
        <x:v>Да</x:v>
      </x:c>
    </x:row>
    <x:row r="8" ht="55" customHeight="1">
      <x:c r="A8" s="2" t="str">
        <x:v>R-04</x:v>
      </x:c>
      <x:c r="B8" s="8" t="str">
        <x:v>Ошибки интеграции frontend/backend/БД</x:v>
      </x:c>
      <x:c r="C8" s="20" t="n">
        <x:v>3</x:v>
      </x:c>
      <x:c r="D8" s="20" t="n">
        <x:v>4</x:v>
      </x:c>
      <x:c r="E8" s="20" t="n">
        <x:v>4</x:v>
      </x:c>
      <x:c r="F8" s="20" t="n">
        <x:v>4</x:v>
      </x:c>
      <x:c r="G8" s="20" t="n">
        <x:v>2</x:v>
      </x:c>
      <x:c r="H8" s="20" t="n">
        <x:v>3</x:v>
      </x:c>
      <x:c r="I8" s="2"/>
      <x:c r="J8" s="20" t="n">
        <x:v>4</x:v>
      </x:c>
      <x:c r="K8" s="20" t="n">
        <x:v>5</x:v>
      </x:c>
      <x:c r="L8" s="20" t="n">
        <x:v>5</x:v>
      </x:c>
      <x:c r="M8" s="20" t="n">
        <x:v>4</x:v>
      </x:c>
      <x:c r="N8" s="20" t="n">
        <x:v>3</x:v>
      </x:c>
      <x:c r="O8" s="20" t="n">
        <x:v>5</x:v>
      </x:c>
      <x:c r="P8" s="2"/>
      <x:c r="Q8" s="21" t="n">
        <x:f>AVERAGE(C8:H8)</x:f>
        <x:v>3.3333333333333335</x:v>
      </x:c>
      <x:c r="R8" s="21" t="n">
        <x:f>AVERAGE(J8:O8)</x:f>
        <x:v>4.333333333333333</x:v>
      </x:c>
      <x:c r="S8" s="21" t="n">
        <x:f>Q8*R8</x:f>
        <x:v>14.444444444444445</x:v>
      </x:c>
      <x:c r="T8" s="2" t="n">
        <x:f>RANK(S8,$S$5:$S$14,0)+COUNTIF($S$5:S8,S8)-1</x:f>
        <x:v>4</x:v>
      </x:c>
      <x:c r="U8" s="2" t="str">
        <x:f>IF(T8&lt;=5,"Да","Нет")</x:f>
        <x:v>Да</x:v>
      </x:c>
    </x:row>
    <x:row r="9" ht="55" customHeight="1">
      <x:c r="A9" s="2" t="str">
        <x:v>R-05</x:v>
      </x:c>
      <x:c r="B9" s="8" t="str">
        <x:v>Разрыв в квалификации специалистов разных областей</x:v>
      </x:c>
      <x:c r="C9" s="20" t="n">
        <x:v>3</x:v>
      </x:c>
      <x:c r="D9" s="20" t="n">
        <x:v>4</x:v>
      </x:c>
      <x:c r="E9" s="20" t="n">
        <x:v>3</x:v>
      </x:c>
      <x:c r="F9" s="20" t="n">
        <x:v>3</x:v>
      </x:c>
      <x:c r="G9" s="20" t="n">
        <x:v>2</x:v>
      </x:c>
      <x:c r="H9" s="20" t="n">
        <x:v>3</x:v>
      </x:c>
      <x:c r="I9" s="2"/>
      <x:c r="J9" s="20" t="n">
        <x:v>4</x:v>
      </x:c>
      <x:c r="K9" s="20" t="n">
        <x:v>4</x:v>
      </x:c>
      <x:c r="L9" s="20" t="n">
        <x:v>4</x:v>
      </x:c>
      <x:c r="M9" s="20" t="n">
        <x:v>4</x:v>
      </x:c>
      <x:c r="N9" s="20" t="n">
        <x:v>4</x:v>
      </x:c>
      <x:c r="O9" s="20" t="n">
        <x:v>4</x:v>
      </x:c>
      <x:c r="P9" s="2"/>
      <x:c r="Q9" s="21" t="n">
        <x:f>AVERAGE(C9:H9)</x:f>
        <x:v>3</x:v>
      </x:c>
      <x:c r="R9" s="21" t="n">
        <x:f>AVERAGE(J9:O9)</x:f>
        <x:v>4</x:v>
      </x:c>
      <x:c r="S9" s="21" t="n">
        <x:f>Q9*R9</x:f>
        <x:v>12</x:v>
      </x:c>
      <x:c r="T9" s="2" t="n">
        <x:f>RANK(S9,$S$5:$S$14,0)+COUNTIF($S$5:S9,S9)-1</x:f>
        <x:v>5</x:v>
      </x:c>
      <x:c r="U9" s="2" t="str">
        <x:f>IF(T9&lt;=5,"Да","Нет")</x:f>
        <x:v>Да</x:v>
      </x:c>
    </x:row>
    <x:row r="10" ht="55" customHeight="1">
      <x:c r="A10" s="2" t="str">
        <x:v>R-06</x:v>
      </x:c>
      <x:c r="B10" s="8" t="str">
        <x:v>Недостаточная производительность системы</x:v>
      </x:c>
      <x:c r="C10" s="20" t="n">
        <x:v>2</x:v>
      </x:c>
      <x:c r="D10" s="20" t="n">
        <x:v>2</x:v>
      </x:c>
      <x:c r="E10" s="20" t="n">
        <x:v>3</x:v>
      </x:c>
      <x:c r="F10" s="20" t="n">
        <x:v>2</x:v>
      </x:c>
      <x:c r="G10" s="20" t="n">
        <x:v>1</x:v>
      </x:c>
      <x:c r="H10" s="20" t="n">
        <x:v>2</x:v>
      </x:c>
      <x:c r="I10" s="2"/>
      <x:c r="J10" s="20" t="n">
        <x:v>4</x:v>
      </x:c>
      <x:c r="K10" s="20" t="n">
        <x:v>4</x:v>
      </x:c>
      <x:c r="L10" s="20" t="n">
        <x:v>4</x:v>
      </x:c>
      <x:c r="M10" s="20" t="n">
        <x:v>4</x:v>
      </x:c>
      <x:c r="N10" s="20" t="n">
        <x:v>3</x:v>
      </x:c>
      <x:c r="O10" s="20" t="n">
        <x:v>4</x:v>
      </x:c>
      <x:c r="P10" s="2"/>
      <x:c r="Q10" s="21" t="n">
        <x:f>AVERAGE(C10:H10)</x:f>
        <x:v>2</x:v>
      </x:c>
      <x:c r="R10" s="21" t="n">
        <x:f>AVERAGE(J10:O10)</x:f>
        <x:v>3.8333333333333335</x:v>
      </x:c>
      <x:c r="S10" s="21" t="n">
        <x:f>Q10*R10</x:f>
        <x:v>7.666666666666667</x:v>
      </x:c>
      <x:c r="T10" s="2" t="n">
        <x:f>RANK(S10,$S$5:$S$14,0)+COUNTIF($S$5:S10,S10)-1</x:f>
        <x:v>7</x:v>
      </x:c>
      <x:c r="U10" s="2" t="str">
        <x:f>IF(T10&lt;=5,"Да","Нет")</x:f>
        <x:v>Нет</x:v>
      </x:c>
    </x:row>
    <x:row r="11" ht="55" customHeight="1">
      <x:c r="A11" s="2" t="str">
        <x:v>R-07</x:v>
      </x:c>
      <x:c r="B11" s="8" t="str">
        <x:v>Неправильный пользовательский интерфейс</x:v>
      </x:c>
      <x:c r="C11" s="20" t="n">
        <x:v>2</x:v>
      </x:c>
      <x:c r="D11" s="20" t="n">
        <x:v>2</x:v>
      </x:c>
      <x:c r="E11" s="20" t="n">
        <x:v>2</x:v>
      </x:c>
      <x:c r="F11" s="20" t="n">
        <x:v>3</x:v>
      </x:c>
      <x:c r="G11" s="20" t="n">
        <x:v>3</x:v>
      </x:c>
      <x:c r="H11" s="20" t="n">
        <x:v>2</x:v>
      </x:c>
      <x:c r="I11" s="2"/>
      <x:c r="J11" s="20" t="n">
        <x:v>3</x:v>
      </x:c>
      <x:c r="K11" s="20" t="n">
        <x:v>3</x:v>
      </x:c>
      <x:c r="L11" s="20" t="n">
        <x:v>2</x:v>
      </x:c>
      <x:c r="M11" s="20" t="n">
        <x:v>3</x:v>
      </x:c>
      <x:c r="N11" s="20" t="n">
        <x:v>4</x:v>
      </x:c>
      <x:c r="O11" s="20" t="n">
        <x:v>3</x:v>
      </x:c>
      <x:c r="P11" s="2"/>
      <x:c r="Q11" s="21" t="n">
        <x:f>AVERAGE(C11:H11)</x:f>
        <x:v>2.3333333333333335</x:v>
      </x:c>
      <x:c r="R11" s="21" t="n">
        <x:f>AVERAGE(J11:O11)</x:f>
        <x:v>3</x:v>
      </x:c>
      <x:c r="S11" s="21" t="n">
        <x:f>Q11*R11</x:f>
        <x:v>7</x:v>
      </x:c>
      <x:c r="T11" s="2" t="n">
        <x:f>RANK(S11,$S$5:$S$14,0)+COUNTIF($S$5:S11,S11)-1</x:f>
        <x:v>9</x:v>
      </x:c>
      <x:c r="U11" s="2" t="str">
        <x:f>IF(T11&lt;=5,"Да","Нет")</x:f>
        <x:v>Нет</x:v>
      </x:c>
    </x:row>
    <x:row r="12" ht="55" customHeight="1">
      <x:c r="A12" s="2" t="str">
        <x:v>R-08</x:v>
      </x:c>
      <x:c r="B12" s="8" t="str">
        <x:v>Дефицит специалистов</x:v>
      </x:c>
      <x:c r="C12" s="20" t="n">
        <x:v>2</x:v>
      </x:c>
      <x:c r="D12" s="20" t="n">
        <x:v>2</x:v>
      </x:c>
      <x:c r="E12" s="20" t="n">
        <x:v>2</x:v>
      </x:c>
      <x:c r="F12" s="20" t="n">
        <x:v>2</x:v>
      </x:c>
      <x:c r="G12" s="20" t="n">
        <x:v>2</x:v>
      </x:c>
      <x:c r="H12" s="20" t="n">
        <x:v>2</x:v>
      </x:c>
      <x:c r="I12" s="2"/>
      <x:c r="J12" s="20" t="n">
        <x:v>5</x:v>
      </x:c>
      <x:c r="K12" s="20" t="n">
        <x:v>5</x:v>
      </x:c>
      <x:c r="L12" s="20" t="n">
        <x:v>5</x:v>
      </x:c>
      <x:c r="M12" s="20" t="n">
        <x:v>4</x:v>
      </x:c>
      <x:c r="N12" s="20" t="n">
        <x:v>4</x:v>
      </x:c>
      <x:c r="O12" s="20" t="n">
        <x:v>5</x:v>
      </x:c>
      <x:c r="P12" s="2"/>
      <x:c r="Q12" s="21" t="n">
        <x:f>AVERAGE(C12:H12)</x:f>
        <x:v>2</x:v>
      </x:c>
      <x:c r="R12" s="21" t="n">
        <x:f>AVERAGE(J12:O12)</x:f>
        <x:v>4.666666666666667</x:v>
      </x:c>
      <x:c r="S12" s="21" t="n">
        <x:f>Q12*R12</x:f>
        <x:v>9.333333333333334</x:v>
      </x:c>
      <x:c r="T12" s="2" t="n">
        <x:f>RANK(S12,$S$5:$S$14,0)+COUNTIF($S$5:S12,S12)-1</x:f>
        <x:v>6</x:v>
      </x:c>
      <x:c r="U12" s="2" t="str">
        <x:f>IF(T12&lt;=5,"Да","Нет")</x:f>
        <x:v>Нет</x:v>
      </x:c>
    </x:row>
    <x:row r="13" ht="55" customHeight="1">
      <x:c r="A13" s="2" t="str">
        <x:v>R-09</x:v>
      </x:c>
      <x:c r="B13" s="8" t="str">
        <x:v>Нехватка информации о внешних компонентах</x:v>
      </x:c>
      <x:c r="C13" s="20" t="n">
        <x:v>1</x:v>
      </x:c>
      <x:c r="D13" s="20" t="n">
        <x:v>1</x:v>
      </x:c>
      <x:c r="E13" s="20" t="n">
        <x:v>2</x:v>
      </x:c>
      <x:c r="F13" s="20" t="n">
        <x:v>1</x:v>
      </x:c>
      <x:c r="G13" s="20" t="n">
        <x:v>1</x:v>
      </x:c>
      <x:c r="H13" s="20" t="n">
        <x:v>1</x:v>
      </x:c>
      <x:c r="I13" s="2"/>
      <x:c r="J13" s="20" t="n">
        <x:v>3</x:v>
      </x:c>
      <x:c r="K13" s="20" t="n">
        <x:v>3</x:v>
      </x:c>
      <x:c r="L13" s="20" t="n">
        <x:v>3</x:v>
      </x:c>
      <x:c r="M13" s="20" t="n">
        <x:v>2</x:v>
      </x:c>
      <x:c r="N13" s="20" t="n">
        <x:v>2</x:v>
      </x:c>
      <x:c r="O13" s="20" t="n">
        <x:v>3</x:v>
      </x:c>
      <x:c r="P13" s="2"/>
      <x:c r="Q13" s="21" t="n">
        <x:f>AVERAGE(C13:H13)</x:f>
        <x:v>1.1666666666666667</x:v>
      </x:c>
      <x:c r="R13" s="21" t="n">
        <x:f>AVERAGE(J13:O13)</x:f>
        <x:v>2.6666666666666665</x:v>
      </x:c>
      <x:c r="S13" s="21" t="n">
        <x:f>Q13*R13</x:f>
        <x:v>3.111111111111111</x:v>
      </x:c>
      <x:c r="T13" s="2" t="n">
        <x:f>RANK(S13,$S$5:$S$14,0)+COUNTIF($S$5:S13,S13)-1</x:f>
        <x:v>10</x:v>
      </x:c>
      <x:c r="U13" s="2" t="str">
        <x:f>IF(T13&lt;=5,"Да","Нет")</x:f>
        <x:v>Нет</x:v>
      </x:c>
    </x:row>
    <x:row r="14" ht="55" customHeight="1">
      <x:c r="A14" s="2" t="str">
        <x:v>R-10</x:v>
      </x:c>
      <x:c r="B14" s="8" t="str">
        <x:v>Ненужная оптимизация и расширение функциональности</x:v>
      </x:c>
      <x:c r="C14" s="20" t="n">
        <x:v>3</x:v>
      </x:c>
      <x:c r="D14" s="20" t="n">
        <x:v>2</x:v>
      </x:c>
      <x:c r="E14" s="20" t="n">
        <x:v>3</x:v>
      </x:c>
      <x:c r="F14" s="20" t="n">
        <x:v>3</x:v>
      </x:c>
      <x:c r="G14" s="20" t="n">
        <x:v>2</x:v>
      </x:c>
      <x:c r="H14" s="20" t="n">
        <x:v>3</x:v>
      </x:c>
      <x:c r="I14" s="2"/>
      <x:c r="J14" s="20" t="n">
        <x:v>3</x:v>
      </x:c>
      <x:c r="K14" s="20" t="n">
        <x:v>3</x:v>
      </x:c>
      <x:c r="L14" s="20" t="n">
        <x:v>3</x:v>
      </x:c>
      <x:c r="M14" s="20" t="n">
        <x:v>3</x:v>
      </x:c>
      <x:c r="N14" s="20" t="n">
        <x:v>2</x:v>
      </x:c>
      <x:c r="O14" s="20" t="n">
        <x:v>3</x:v>
      </x:c>
      <x:c r="P14" s="2"/>
      <x:c r="Q14" s="21" t="n">
        <x:f>AVERAGE(C14:H14)</x:f>
        <x:v>2.6666666666666665</x:v>
      </x:c>
      <x:c r="R14" s="21" t="n">
        <x:f>AVERAGE(J14:O14)</x:f>
        <x:v>2.8333333333333335</x:v>
      </x:c>
      <x:c r="S14" s="21" t="n">
        <x:f>Q14*R14</x:f>
        <x:v>7.555555555555555</x:v>
      </x:c>
      <x:c r="T14" s="2" t="n">
        <x:f>RANK(S14,$S$5:$S$14,0)+COUNTIF($S$5:S14,S14)-1</x:f>
        <x:v>8</x:v>
      </x:c>
      <x:c r="U14" s="2" t="str">
        <x:f>IF(T14&lt;=5,"Да","Нет")</x:f>
        <x:v>Нет</x:v>
      </x:c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25" customHeight="1">
      <x:c r="A16" s="2" t="str">
        <x:v>P: 1 редкое событие, 2 маловероятно, 3 возможно, 4 вероятно, 5 почти неизбежно.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ht="25" customHeight="1">
      <x:c r="A17" s="2" t="str">
        <x:v>I: 1 локальная правка, 2 до спринта, 3 часть спринта, 4 риск вехи, 5 срыв приёмки или целостности.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25" customHeight="1">
      <x:c r="A18" s="2" t="str">
        <x:v>Равный рейтинг разрешается порядком ID. Выбор всегда содержит ровно пять рисков.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21" ht="38" customHeight="1">
      <x:c r="A21"/>
      <x:c r="B21"/>
      <x:c r="C21"/>
      <x:c r="D21"/>
      <x:c r="E21"/>
      <x:c r="F21"/>
    </x:row>
    <x:row r="22">
      <x:c r="A22"/>
      <x:c r="B22"/>
      <x:c r="C22"/>
      <x:c r="D22"/>
      <x:c r="E22"/>
      <x:c r="F22"/>
    </x:row>
    <x:row r="23">
      <x:c r="A23"/>
      <x:c r="B23"/>
      <x:c r="C23"/>
      <x:c r="D23"/>
      <x:c r="E23"/>
      <x:c r="F23"/>
    </x:row>
    <x:row r="24">
      <x:c r="A24"/>
      <x:c r="B24"/>
      <x:c r="C24"/>
      <x:c r="D24"/>
      <x:c r="E24"/>
      <x:c r="F24"/>
    </x:row>
    <x:row r="25">
      <x:c r="A25"/>
      <x:c r="B25"/>
      <x:c r="C25"/>
      <x:c r="D25"/>
      <x:c r="E25"/>
      <x:c r="F25"/>
    </x:row>
    <x:row r="26">
      <x:c r="A26"/>
      <x:c r="B26"/>
      <x:c r="C26"/>
      <x:c r="D26"/>
      <x:c r="E26"/>
      <x:c r="F26"/>
    </x:row>
    <x:row r="27">
      <x:c r="A27"/>
      <x:c r="B27"/>
      <x:c r="C27"/>
      <x:c r="D27"/>
      <x:c r="E27"/>
      <x:c r="F27"/>
    </x:row>
    <x:row r="28">
      <x:c r="A28"/>
      <x:c r="B28"/>
      <x:c r="C28"/>
      <x:c r="D28"/>
      <x:c r="E28"/>
      <x:c r="F28"/>
    </x:row>
    <x:row r="29">
      <x:c r="A29"/>
      <x:c r="B29"/>
      <x:c r="C29"/>
      <x:c r="D29"/>
      <x:c r="E29"/>
      <x:c r="F29"/>
    </x:row>
    <x:row r="30">
      <x:c r="A30"/>
      <x:c r="B30"/>
      <x:c r="C30"/>
      <x:c r="D30"/>
      <x:c r="E30"/>
      <x:c r="F30"/>
    </x:row>
    <x:row r="31">
      <x:c r="A31"/>
      <x:c r="B31"/>
      <x:c r="C31"/>
      <x:c r="D31"/>
      <x:c r="E31"/>
      <x:c r="F31"/>
    </x:row>
  </x:sheetData>
  <x:conditionalFormatting sqref="S5:S14">
    <x:cfRule type="colorScale" priority="1">
      <x:colorScale>
        <x:cfvo type="min"/>
        <x:cfvo type="percentile" val="50"/>
        <x:cfvo type="max"/>
        <x:color rgb="FFE7F0E8"/>
        <x:color rgb="FFFFF2CC"/>
        <x:color rgb="FFE9ADAD"/>
      </x:colorScale>
    </x:cfRule>
  </x:conditionalFormatting>
  <x:dataValidations count="2">
    <x:dataValidation type="whole" operator="between" sqref="C5:H14">
      <x:formula1>1</x:formula1>
      <x:formula2>5</x:formula2>
    </x:dataValidation>
    <x:dataValidation type="whole" operator="between" sqref="J5:O14">
      <x:formula1>1</x:formula1>
      <x:formula2>5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0" hidden="0" customWidth="1"/>
    <x:col min="3" max="3" width="16" hidden="0" customWidth="1"/>
    <x:col min="4" max="4" width="32" hidden="0" customWidth="1"/>
    <x:col min="5" max="5" width="54" hidden="0" customWidth="1"/>
    <x:col min="6" max="6" width="62" hidden="0" customWidth="1"/>
    <x:col min="7" max="7" width="6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25" customHeight="1">
      <x:c r="A2" s="3" t="str">
        <x:v>АС Студенты   Пять главных рисков</x:v>
      </x:c>
      <x:c r="B2" s="2"/>
      <x:c r="C2" s="2"/>
      <x:c r="D2" s="2"/>
      <x:c r="E2" s="2"/>
      <x:c r="F2" s="2"/>
      <x:c r="G2" s="2"/>
    </x:row>
    <x:row r="3" ht="25" customHeight="1">
      <x:c r="A3" s="2"/>
      <x:c r="B3" s="2"/>
      <x:c r="C3" s="2"/>
      <x:c r="D3" s="2"/>
      <x:c r="E3" s="2"/>
      <x:c r="F3" s="2"/>
      <x:c r="G3" s="2"/>
    </x:row>
    <x:row r="4" ht="38" customHeight="1">
      <x:c r="A4" s="7" t="str">
        <x:v>ID</x:v>
      </x:c>
      <x:c r="B4" s="7" t="str">
        <x:v>Риск</x:v>
      </x:c>
      <x:c r="C4" s="7" t="str">
        <x:v>Рейтинг</x:v>
      </x:c>
      <x:c r="D4" s="7" t="str">
        <x:v>Владелец</x:v>
      </x:c>
      <x:c r="E4" s="7" t="str">
        <x:v>Сигнал</x:v>
      </x:c>
      <x:c r="F4" s="7" t="str">
        <x:v>Предотвращение</x:v>
      </x:c>
      <x:c r="G4" s="7" t="str">
        <x:v>Реагирование</x:v>
      </x:c>
    </x:row>
    <x:row r="5" ht="115" customHeight="1">
      <x:c r="A5" s="8" t="str">
        <x:f>INDEX('Риски'!$A$5:$A$14,MATCH(1,'Риски'!$T$5:$T$14,0))</x:f>
        <x:v>R-01</x:v>
      </x:c>
      <x:c r="B5" s="8" t="str">
        <x:f>INDEX('Риски'!$B$5:$B$14,MATCH(1,'Риски'!$T$5:$T$14,0))</x:f>
        <x:v>Нереалистичные сроки и объём проекта</x:v>
      </x:c>
      <x:c r="C5" s="26" t="n">
        <x:f>INDEX('Риски'!$S$5:$S$14,MATCH(1,'Риски'!$T$5:$T$14,0))</x:f>
        <x:v>19.444444444444446</x:v>
      </x:c>
      <x:c r="D5" s="8" t="str">
        <x:f>INDEX($C$17:$C$26,MATCH(A5,$A$17:$A$26,0))</x:f>
        <x:v>Руководитель проекта</x:v>
      </x:c>
      <x:c r="E5" s="8" t="str">
        <x:f>INDEX($E$17:$E$26,MATCH(A5,$A$17:$A$26,0))</x:f>
        <x:v>Остаток работ превышает доступную ёмкость двух ближайших спринтов</x:v>
      </x:c>
      <x:c r="F5" s="8" t="str">
        <x:f>INDEX($F$17:$F$26,MATCH(A5,$A$17:$A$26,0))</x:f>
        <x:v>Декомпозиция 24 прецедентов и проверка ёмкости перед Sprint Planning</x:v>
      </x:c>
      <x:c r="G5" s="8" t="str">
        <x:f>INDEX($G$17:$G$26,MATCH(A5,$A$17:$A$26,0))</x:f>
        <x:v>Перераспределить загрузку шести ролей; согласовать ресурсы и план без удаления обязательных функций</x:v>
      </x:c>
    </x:row>
    <x:row r="6" ht="115" customHeight="1">
      <x:c r="A6" s="8" t="str">
        <x:f>INDEX('Риски'!$A$5:$A$14,MATCH(2,'Риски'!$T$5:$T$14,0))</x:f>
        <x:v>R-02</x:v>
      </x:c>
      <x:c r="B6" s="8" t="str">
        <x:f>INDEX('Риски'!$B$5:$B$14,MATCH(2,'Риски'!$T$5:$T$14,0))</x:f>
        <x:v>Изменение требований в процессе разработки</x:v>
      </x:c>
      <x:c r="C6" s="26" t="n">
        <x:f>INDEX('Риски'!$S$5:$S$14,MATCH(2,'Риски'!$T$5:$T$14,0))</x:f>
        <x:v>16.666666666666668</x:v>
      </x:c>
      <x:c r="D6" s="8" t="str">
        <x:f>INDEX($C$17:$C$26,MATCH(A6,$A$17:$A$26,0))</x:f>
        <x:v>Тимлид и системный аналитик</x:v>
      </x:c>
      <x:c r="E6" s="8" t="str">
        <x:f>INDEX($E$17:$E$26,MATCH(A6,$A$17:$A$26,0))</x:f>
        <x:v>После согласования появляются изменения правил учёта или новых отчётов</x:v>
      </x:c>
      <x:c r="F6" s="8" t="str">
        <x:f>INDEX($F$17:$F$26,MATCH(A6,$A$17:$A$26,0))</x:f>
        <x:v>Критерии приёмки и журнал требований; демонстрация каждого инкремента</x:v>
      </x:c>
      <x:c r="G6" s="8" t="str">
        <x:f>INDEX($G$17:$G$26,MATCH(A6,$A$17:$A$26,0))</x:f>
        <x:v>Оценить затронутые UC, API и тесты; согласовать изменение с заказчиком</x:v>
      </x:c>
    </x:row>
    <x:row r="7" ht="115" customHeight="1">
      <x:c r="A7" s="8" t="str">
        <x:f>INDEX('Риски'!$A$5:$A$14,MATCH(3,'Риски'!$T$5:$T$14,0))</x:f>
        <x:v>R-03</x:v>
      </x:c>
      <x:c r="B7" s="8" t="str">
        <x:f>INDEX('Риски'!$B$5:$B$14,MATCH(3,'Риски'!$T$5:$T$14,0))</x:f>
        <x:v>Несоответствие реализованной функциональности требованиям</x:v>
      </x:c>
      <x:c r="C7" s="26" t="n">
        <x:f>INDEX('Риски'!$S$5:$S$14,MATCH(3,'Риски'!$T$5:$T$14,0))</x:f>
        <x:v>14.777777777777779</x:v>
      </x:c>
      <x:c r="D7" s="8" t="str">
        <x:f>INDEX($C$17:$C$26,MATCH(A7,$A$17:$A$26,0))</x:f>
        <x:v>QA-инженер</x:v>
      </x:c>
      <x:c r="E7" s="8" t="str">
        <x:f>INDEX($E$17:$E$26,MATCH(A7,$A$17:$A$26,0))</x:f>
        <x:v>На демонстрации обнаружено расхождение сценария с критерием приёмки</x:v>
      </x:c>
      <x:c r="F7" s="8" t="str">
        <x:f>INDEX($F$17:$F$26,MATCH(A7,$A$17:$A$26,0))</x:f>
        <x:v>Трассировка требований к UC и тестам; ревью аналитика до разработки</x:v>
      </x:c>
      <x:c r="G7" s="8" t="str">
        <x:f>INDEX($G$17:$G$26,MATCH(A7,$A$17:$A$26,0))</x:f>
        <x:v>Исправить расхождения по приоритету и повторить приёмочные проверки</x:v>
      </x:c>
    </x:row>
    <x:row r="8" ht="115" customHeight="1">
      <x:c r="A8" s="8" t="str">
        <x:f>INDEX('Риски'!$A$5:$A$14,MATCH(4,'Риски'!$T$5:$T$14,0))</x:f>
        <x:v>R-04</x:v>
      </x:c>
      <x:c r="B8" s="8" t="str">
        <x:f>INDEX('Риски'!$B$5:$B$14,MATCH(4,'Риски'!$T$5:$T$14,0))</x:f>
        <x:v>Ошибки интеграции frontend/backend/БД</x:v>
      </x:c>
      <x:c r="C8" s="26" t="n">
        <x:f>INDEX('Риски'!$S$5:$S$14,MATCH(4,'Риски'!$T$5:$T$14,0))</x:f>
        <x:v>14.444444444444445</x:v>
      </x:c>
      <x:c r="D8" s="8" t="str">
        <x:f>INDEX($C$17:$C$26,MATCH(A8,$A$17:$A$26,0))</x:f>
        <x:v>Тимлид и системный аналитик</x:v>
      </x:c>
      <x:c r="E8" s="8" t="str">
        <x:f>INDEX($E$17:$E$26,MATCH(A8,$A$17:$A$26,0))</x:f>
        <x:v>Контрактный тест API или сквозной сценарий завершается ошибкой</x:v>
      </x:c>
      <x:c r="F8" s="8" t="str">
        <x:f>INDEX($F$17:$F$26,MATCH(A8,$A$17:$A$26,0))</x:f>
        <x:v>Согласовать REST-контракты и миграции; интегрировать части в каждом спринте</x:v>
      </x:c>
      <x:c r="G8" s="8" t="str">
        <x:f>INDEX($G$17:$G$26,MATCH(A8,$A$17:$A$26,0))</x:f>
        <x:v>Зафиксировать несовместимость; исправить контракт и выполнить регрессию</x:v>
      </x:c>
    </x:row>
    <x:row r="9" ht="115" customHeight="1">
      <x:c r="A9" s="8" t="str">
        <x:f>INDEX('Риски'!$A$5:$A$14,MATCH(5,'Риски'!$T$5:$T$14,0))</x:f>
        <x:v>R-05</x:v>
      </x:c>
      <x:c r="B9" s="8" t="str">
        <x:f>INDEX('Риски'!$B$5:$B$14,MATCH(5,'Риски'!$T$5:$T$14,0))</x:f>
        <x:v>Разрыв в квалификации специалистов разных областей</x:v>
      </x:c>
      <x:c r="C9" s="26" t="n">
        <x:f>INDEX('Риски'!$S$5:$S$14,MATCH(5,'Риски'!$T$5:$T$14,0))</x:f>
        <x:v>12</x:v>
      </x:c>
      <x:c r="D9" s="8" t="str">
        <x:f>INDEX($C$17:$C$26,MATCH(A9,$A$17:$A$26,0))</x:f>
        <x:v>Тимлид и системный аналитик</x:v>
      </x:c>
      <x:c r="E9" s="8" t="str">
        <x:f>INDEX($E$17:$E$26,MATCH(A9,$A$17:$A$26,0))</x:f>
        <x:v>Задача дважды возвращена с ревью по одной причине</x:v>
      </x:c>
      <x:c r="F9" s="8" t="str">
        <x:f>INDEX($F$17:$F$26,MATCH(A9,$A$17:$A$26,0))</x:f>
        <x:v>Парные ревью, распределение задач по навыкам и общая техническая база</x:v>
      </x:c>
      <x:c r="G9" s="8" t="str">
        <x:f>INDEX($G$17:$G$26,MATCH(A9,$A$17:$A$26,0))</x:f>
        <x:v>Провести консультацию, разбить задачу и перераспределить работу</x:v>
      </x:c>
    </x:row>
    <x:row r="10" ht="25" customHeight="1">
      <x:c r="A10" s="2"/>
      <x:c r="B10" s="2"/>
      <x:c r="C10" s="2"/>
      <x:c r="D10" s="2"/>
      <x:c r="E10" s="2"/>
      <x:c r="F10" s="2"/>
      <x:c r="G10" s="2"/>
    </x:row>
    <x:row r="11" ht="25" customHeight="1">
      <x:c r="A11" s="2"/>
      <x:c r="B11" s="2"/>
      <x:c r="C11" s="2"/>
      <x:c r="D11" s="2"/>
      <x:c r="E11" s="2"/>
      <x:c r="F11" s="2"/>
      <x:c r="G11" s="2"/>
    </x:row>
    <x:row r="12" ht="25" customHeight="1">
      <x:c r="A12" s="2" t="str">
        <x:v>Перечень обновляется автоматически при изменении экспертных баллов.</x:v>
      </x:c>
      <x:c r="B12" s="2"/>
      <x:c r="C12" s="2"/>
      <x:c r="D12" s="2"/>
      <x:c r="E12" s="2"/>
      <x:c r="F12" s="2"/>
      <x:c r="G12" s="2"/>
    </x:row>
    <x:row r="13" ht="25" customHeight="1">
      <x:c r="A13" s="2"/>
      <x:c r="B13" s="2"/>
      <x:c r="C13" s="2"/>
      <x:c r="D13" s="2"/>
      <x:c r="E13" s="2"/>
      <x:c r="F13" s="2"/>
      <x:c r="G13" s="2"/>
    </x:row>
    <x:row r="14" ht="25" customHeight="1">
      <x:c r="A14" s="2" t="str">
        <x:v>Реестр мер по всем десяти рискам</x:v>
      </x:c>
      <x:c r="B14" s="2"/>
      <x:c r="C14" s="2"/>
      <x:c r="D14" s="2"/>
      <x:c r="E14" s="2"/>
      <x:c r="F14" s="2"/>
      <x:c r="G14" s="2"/>
    </x:row>
    <x:row r="15" ht="25" customHeight="1">
      <x:c r="A15" s="2"/>
      <x:c r="B15" s="2"/>
      <x:c r="C15" s="2"/>
      <x:c r="D15" s="2"/>
      <x:c r="E15" s="2"/>
      <x:c r="F15" s="2"/>
      <x:c r="G15" s="2"/>
    </x:row>
    <x:row r="16" ht="38" customHeight="1">
      <x:c r="A16" s="7" t="str">
        <x:v>ID</x:v>
      </x:c>
      <x:c r="B16" s="7" t="str">
        <x:v>Риск</x:v>
      </x:c>
      <x:c r="C16" s="7" t="str">
        <x:v>Владелец</x:v>
      </x:c>
      <x:c r="D16" s="7" t="str">
        <x:v>Последствия</x:v>
      </x:c>
      <x:c r="E16" s="7" t="str">
        <x:v>Сигнал</x:v>
      </x:c>
      <x:c r="F16" s="7" t="str">
        <x:v>Предотвращение</x:v>
      </x:c>
      <x:c r="G16" s="7" t="str">
        <x:v>Реагирование</x:v>
      </x:c>
    </x:row>
    <x:row r="17" ht="130" customHeight="1">
      <x:c r="A17" s="8" t="str">
        <x:v>R-01</x:v>
      </x:c>
      <x:c r="B17" s="8" t="str">
        <x:v>Нереалистичные сроки и объём проекта</x:v>
      </x:c>
      <x:c r="C17" s="8" t="str">
        <x:v>Руководитель проекта</x:v>
      </x:c>
      <x:c r="D17" s="8" t="str">
        <x:v>Незавершённые сценарии и задержка приёмки</x:v>
      </x:c>
      <x:c r="E17" s="8" t="str">
        <x:v>Остаток работ превышает доступную ёмкость двух ближайших спринтов</x:v>
      </x:c>
      <x:c r="F17" s="8" t="str">
        <x:v>Декомпозиция 24 прецедентов и проверка ёмкости перед Sprint Planning</x:v>
      </x:c>
      <x:c r="G17" s="8" t="str">
        <x:v>Перераспределить загрузку шести ролей; согласовать ресурсы и план без удаления обязательных функций</x:v>
      </x:c>
    </x:row>
    <x:row r="18" ht="130" customHeight="1">
      <x:c r="A18" s="8" t="str">
        <x:v>R-02</x:v>
      </x:c>
      <x:c r="B18" s="8" t="str">
        <x:v>Изменение требований в процессе разработки</x:v>
      </x:c>
      <x:c r="C18" s="8" t="str">
        <x:v>Тимлид и системный аналитик</x:v>
      </x:c>
      <x:c r="D18" s="8" t="str">
        <x:v>Повторная реализация и рост трудозатрат</x:v>
      </x:c>
      <x:c r="E18" s="8" t="str">
        <x:v>После согласования появляются изменения правил учёта или новых отчётов</x:v>
      </x:c>
      <x:c r="F18" s="8" t="str">
        <x:v>Критерии приёмки и журнал требований; демонстрация каждого инкремента</x:v>
      </x:c>
      <x:c r="G18" s="8" t="str">
        <x:v>Оценить затронутые UC, API и тесты; согласовать изменение с заказчиком</x:v>
      </x:c>
    </x:row>
    <x:row r="19" ht="130" customHeight="1">
      <x:c r="A19" s="8" t="str">
        <x:v>R-03</x:v>
      </x:c>
      <x:c r="B19" s="8" t="str">
        <x:v>Несоответствие реализованной функциональности требованиям</x:v>
      </x:c>
      <x:c r="C19" s="8" t="str">
        <x:v>QA-инженер</x:v>
      </x:c>
      <x:c r="D19" s="8" t="str">
        <x:v>Отказ в приёмке и ошибки учебного учёта</x:v>
      </x:c>
      <x:c r="E19" s="8" t="str">
        <x:v>На демонстрации обнаружено расхождение сценария с критерием приёмки</x:v>
      </x:c>
      <x:c r="F19" s="8" t="str">
        <x:v>Трассировка требований к UC и тестам; ревью аналитика до разработки</x:v>
      </x:c>
      <x:c r="G19" s="8" t="str">
        <x:v>Исправить расхождения по приоритету и повторить приёмочные проверки</x:v>
      </x:c>
    </x:row>
    <x:row r="20" ht="130" customHeight="1">
      <x:c r="A20" s="8" t="str">
        <x:v>R-04</x:v>
      </x:c>
      <x:c r="B20" s="8" t="str">
        <x:v>Ошибки интеграции frontend/backend/БД</x:v>
      </x:c>
      <x:c r="C20" s="8" t="str">
        <x:v>Тимлид и системный аналитик</x:v>
      </x:c>
      <x:c r="D20" s="8" t="str">
        <x:v>Ошибки обмена и несогласованность данных</x:v>
      </x:c>
      <x:c r="E20" s="8" t="str">
        <x:v>Контрактный тест API или сквозной сценарий завершается ошибкой</x:v>
      </x:c>
      <x:c r="F20" s="8" t="str">
        <x:v>Согласовать REST-контракты и миграции; интегрировать части в каждом спринте</x:v>
      </x:c>
      <x:c r="G20" s="8" t="str">
        <x:v>Зафиксировать несовместимость; исправить контракт и выполнить регрессию</x:v>
      </x:c>
    </x:row>
    <x:row r="21" ht="130" customHeight="1">
      <x:c r="A21" s="8" t="str">
        <x:v>R-05</x:v>
      </x:c>
      <x:c r="B21" s="8" t="str">
        <x:v>Разрыв в квалификации специалистов разных областей</x:v>
      </x:c>
      <x:c r="C21" s="8" t="str">
        <x:v>Тимлид и системный аналитик</x:v>
      </x:c>
      <x:c r="D21" s="8" t="str">
        <x:v>Задержка задач и рост числа дефектов</x:v>
      </x:c>
      <x:c r="E21" s="8" t="str">
        <x:v>Задача дважды возвращена с ревью по одной причине</x:v>
      </x:c>
      <x:c r="F21" s="8" t="str">
        <x:v>Парные ревью, распределение задач по навыкам и общая техническая база</x:v>
      </x:c>
      <x:c r="G21" s="8" t="str">
        <x:v>Провести консультацию, разбить задачу и перераспределить работу</x:v>
      </x:c>
    </x:row>
    <x:row r="22" ht="130" customHeight="1">
      <x:c r="A22" s="8" t="str">
        <x:v>R-06</x:v>
      </x:c>
      <x:c r="B22" s="8" t="str">
        <x:v>Недостаточная производительность системы</x:v>
      </x:c>
      <x:c r="C22" s="8" t="str">
        <x:v>Backend-разработчик</x:v>
      </x:c>
      <x:c r="D22" s="8" t="str">
        <x:v>Замедление работы</x:v>
      </x:c>
      <x:c r="E22" s="8" t="str">
        <x:v>Запросы отчётности превышают согласованное время ответа</x:v>
      </x:c>
      <x:c r="F22" s="8" t="str">
        <x:v>Проверять индексы и план запросов</x:v>
      </x:c>
      <x:c r="G22" s="8" t="str">
        <x:v>Оптимизировать запросы и повторить нагрузочную проверку</x:v>
      </x:c>
    </x:row>
    <x:row r="23" ht="130" customHeight="1">
      <x:c r="A23" s="8" t="str">
        <x:v>R-07</x:v>
      </x:c>
      <x:c r="B23" s="8" t="str">
        <x:v>Неправильный пользовательский интерфейс</x:v>
      </x:c>
      <x:c r="C23" s="8" t="str">
        <x:v>UI/UX-дизайнер</x:v>
      </x:c>
      <x:c r="D23" s="8" t="str">
        <x:v>Ошибки пользователей</x:v>
      </x:c>
      <x:c r="E23" s="8" t="str">
        <x:v>Пользователь не завершает сценарий в прототипе</x:v>
      </x:c>
      <x:c r="F23" s="8" t="str">
        <x:v>Проверять макеты на основных сценариях</x:v>
      </x:c>
      <x:c r="G23" s="8" t="str">
        <x:v>Уточнить интерфейс и повторить проверку</x:v>
      </x:c>
    </x:row>
    <x:row r="24" ht="130" customHeight="1">
      <x:c r="A24" s="8" t="str">
        <x:v>R-08</x:v>
      </x:c>
      <x:c r="B24" s="8" t="str">
        <x:v>Дефицит специалистов</x:v>
      </x:c>
      <x:c r="C24" s="8" t="str">
        <x:v>Руководитель проекта</x:v>
      </x:c>
      <x:c r="D24" s="8" t="str">
        <x:v>Задержка зависимых работ</x:v>
      </x:c>
      <x:c r="E24" s="8" t="str">
        <x:v>Отсутствие специалиста блокирует задачи спринта</x:v>
      </x:c>
      <x:c r="F24" s="8" t="str">
        <x:v>Общая документация и резерв исполнителей</x:v>
      </x:c>
      <x:c r="G24" s="8" t="str">
        <x:v>Перераспределить задачи</x:v>
      </x:c>
    </x:row>
    <x:row r="25" ht="130" customHeight="1">
      <x:c r="A25" s="31" t="str">
        <x:v>R-09</x:v>
      </x:c>
      <x:c r="B25" s="31" t="str">
        <x:v>Нехватка информации о внешних компонентах</x:v>
      </x:c>
      <x:c r="C25" s="31" t="str">
        <x:v>Backend-разработчик</x:v>
      </x:c>
      <x:c r="D25" s="31" t="str">
        <x:v>Дополнительные работы</x:v>
      </x:c>
      <x:c r="E25" s="31" t="str">
        <x:v>Версия зависимости меняет ожидаемое поведение</x:v>
      </x:c>
      <x:c r="F25" s="31" t="str">
        <x:v>Зафиксировать версии и проверить совместимость</x:v>
      </x:c>
      <x:c r="G25" s="31" t="str">
        <x:v>Откатить зависимость или адаптировать интеграцию</x:v>
      </x:c>
    </x:row>
    <x:row r="26" ht="130" customHeight="1">
      <x:c r="A26" s="31" t="str">
        <x:v>R-10</x:v>
      </x:c>
      <x:c r="B26" s="31" t="str">
        <x:v>Ненужная оптимизация и расширение функциональности</x:v>
      </x:c>
      <x:c r="C26" s="31" t="str">
        <x:v>Руководитель проекта</x:v>
      </x:c>
      <x:c r="D26" s="31" t="str">
        <x:v>Перерасход ёмкости</x:v>
      </x:c>
      <x:c r="E26" s="31" t="str">
        <x:v>Работа не связана с критерием готовности UC</x:v>
      </x:c>
      <x:c r="F26" s="31" t="str">
        <x:v>Ограничить задачи согласованным бэклогом</x:v>
      </x:c>
      <x:c r="G26" s="31" t="str">
        <x:v>Остановить лишнюю работу и вернуть ресурсы к UC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5" hidden="0" customWidth="1"/>
    <x:col min="3" max="3" width="19" hidden="0" customWidth="1"/>
    <x:col min="4" max="4" width="18" hidden="0" customWidth="1"/>
    <x:col min="5" max="5" width="19" hidden="0" customWidth="1"/>
    <x:col min="6" max="6" width="18" hidden="0" customWidth="1"/>
    <x:col min="7" max="7" width="24" hidden="0" customWidth="1"/>
    <x:col min="8" max="8" width="16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АС Студенты   Прозрачная себестоимость</x:v>
      </x:c>
      <x:c r="B2" s="2"/>
      <x:c r="C2" s="2"/>
      <x:c r="D2" s="2"/>
      <x:c r="E2" s="2"/>
      <x:c r="F2" s="2"/>
      <x:c r="G2" s="2"/>
      <x:c r="H2" s="2"/>
    </x:row>
    <x:row r="3" ht="25" customHeight="1">
      <x:c r="A3" s="2"/>
      <x:c r="B3" s="2"/>
      <x:c r="C3" s="2"/>
      <x:c r="D3" s="2"/>
      <x:c r="E3" s="2"/>
      <x:c r="F3" s="2"/>
      <x:c r="G3" s="2"/>
      <x:c r="H3" s="2"/>
    </x:row>
    <x:row r="4" ht="38" customHeight="1">
      <x:c r="A4" s="7" t="str">
        <x:v>Роль</x:v>
      </x:c>
      <x:c r="B4" s="7" t="str">
        <x:v>Доля</x:v>
      </x:c>
      <x:c r="C4" s="7" t="str">
        <x:v>Основные часы</x:v>
      </x:c>
      <x:c r="D4" s="7" t="str">
        <x:v>Прочие часы</x:v>
      </x:c>
      <x:c r="E4" s="7" t="str">
        <x:v>Все часы</x:v>
      </x:c>
      <x:c r="F4" s="7" t="str">
        <x:v>Ставка руб/ч</x:v>
      </x:c>
      <x:c r="G4" s="7" t="str">
        <x:v>Стоимость руб</x:v>
      </x:c>
      <x:c r="H4" s="2"/>
    </x:row>
    <x:row r="5" ht="42" customHeight="1">
      <x:c r="A5" s="8" t="str">
        <x:f>'Параметры'!A20</x:f>
        <x:v>Руководитель проекта</x:v>
      </x:c>
      <x:c r="B5" s="27" t="n">
        <x:f>'Параметры'!C20</x:f>
        <x:v>0</x:v>
      </x:c>
      <x:c r="C5" s="16" t="n">
        <x:f>'Прецеденты'!$B$35*B5</x:f>
        <x:v>0</x:v>
      </x:c>
      <x:c r="D5" s="16" t="n">
        <x:f>'Прецеденты'!B36</x:f>
        <x:v>341.5</x:v>
      </x:c>
      <x:c r="E5" s="16" t="n">
        <x:f>C5+D5</x:f>
        <x:v>341.5</x:v>
      </x:c>
      <x:c r="F5" s="16" t="n">
        <x:f>'Параметры'!D20</x:f>
        <x:v>1450</x:v>
      </x:c>
      <x:c r="G5" s="16" t="n">
        <x:f>E5*F5</x:f>
        <x:v>495175</x:v>
      </x:c>
      <x:c r="H5" s="2"/>
    </x:row>
    <x:row r="6" ht="42" customHeight="1">
      <x:c r="A6" s="8" t="str">
        <x:f>'Параметры'!A21</x:f>
        <x:v>Тимлид и системный аналитик</x:v>
      </x:c>
      <x:c r="B6" s="27" t="n">
        <x:f>'Параметры'!C21</x:f>
        <x:v>0.2</x:v>
      </x:c>
      <x:c r="C6" s="16" t="n">
        <x:f>'Прецеденты'!$B$35*B6</x:f>
        <x:v>273.2</x:v>
      </x:c>
      <x:c r="D6" s="16" t="n">
        <x:f>'Параметры'!B8</x:f>
        <x:v>24</x:v>
      </x:c>
      <x:c r="E6" s="16" t="n">
        <x:f>C6+D6</x:f>
        <x:v>297.2</x:v>
      </x:c>
      <x:c r="F6" s="16" t="n">
        <x:f>'Параметры'!D21</x:f>
        <x:v>1250</x:v>
      </x:c>
      <x:c r="G6" s="16" t="n">
        <x:f>E6*F6</x:f>
        <x:v>371500</x:v>
      </x:c>
      <x:c r="H6" s="2"/>
    </x:row>
    <x:row r="7" ht="42" customHeight="1">
      <x:c r="A7" s="8" t="str">
        <x:f>'Параметры'!A22</x:f>
        <x:v>Backend-разработчик</x:v>
      </x:c>
      <x:c r="B7" s="27" t="n">
        <x:f>'Параметры'!C22</x:f>
        <x:v>0.3</x:v>
      </x:c>
      <x:c r="C7" s="16" t="n">
        <x:f>'Прецеденты'!$B$35*B7</x:f>
        <x:v>409.8</x:v>
      </x:c>
      <x:c r="D7" s="16" t="n">
        <x:f>'Параметры'!B9</x:f>
        <x:v>16</x:v>
      </x:c>
      <x:c r="E7" s="16" t="n">
        <x:f>C7+D7</x:f>
        <x:v>425.8</x:v>
      </x:c>
      <x:c r="F7" s="16" t="n">
        <x:f>'Параметры'!D22</x:f>
        <x:v>1150</x:v>
      </x:c>
      <x:c r="G7" s="16" t="n">
        <x:f>E7*F7</x:f>
        <x:v>489670</x:v>
      </x:c>
      <x:c r="H7" s="2"/>
    </x:row>
    <x:row r="8" ht="42" customHeight="1">
      <x:c r="A8" s="8" t="str">
        <x:f>'Параметры'!A23</x:f>
        <x:v>Frontend-разработчик</x:v>
      </x:c>
      <x:c r="B8" s="27" t="n">
        <x:f>'Параметры'!C23</x:f>
        <x:v>0.25</x:v>
      </x:c>
      <x:c r="C8" s="16" t="n">
        <x:f>'Прецеденты'!$B$35*B8</x:f>
        <x:v>341.5</x:v>
      </x:c>
      <x:c r="D8" s="16" t="n">
        <x:f>0</x:f>
        <x:v>0</x:v>
      </x:c>
      <x:c r="E8" s="16" t="n">
        <x:f>C8+D8</x:f>
        <x:v>341.5</x:v>
      </x:c>
      <x:c r="F8" s="16" t="n">
        <x:f>'Параметры'!D23</x:f>
        <x:v>1100</x:v>
      </x:c>
      <x:c r="G8" s="16" t="n">
        <x:f>E8*F8</x:f>
        <x:v>375650</x:v>
      </x:c>
      <x:c r="H8" s="2"/>
    </x:row>
    <x:row r="9" ht="42" customHeight="1">
      <x:c r="A9" s="8" t="str">
        <x:f>'Параметры'!A24</x:f>
        <x:v>UI/UX-дизайнер</x:v>
      </x:c>
      <x:c r="B9" s="27" t="n">
        <x:f>'Параметры'!C24</x:f>
        <x:v>0.1</x:v>
      </x:c>
      <x:c r="C9" s="16" t="n">
        <x:f>'Прецеденты'!$B$35*B9</x:f>
        <x:v>136.6</x:v>
      </x:c>
      <x:c r="D9" s="16" t="n">
        <x:f>0</x:f>
        <x:v>0</x:v>
      </x:c>
      <x:c r="E9" s="16" t="n">
        <x:f>C9+D9</x:f>
        <x:v>136.6</x:v>
      </x:c>
      <x:c r="F9" s="16" t="n">
        <x:f>'Параметры'!D24</x:f>
        <x:v>950</x:v>
      </x:c>
      <x:c r="G9" s="16" t="n">
        <x:f>E9*F9</x:f>
        <x:v>129770</x:v>
      </x:c>
      <x:c r="H9" s="2"/>
    </x:row>
    <x:row r="10" ht="42" customHeight="1">
      <x:c r="A10" s="8" t="str">
        <x:f>'Параметры'!A25</x:f>
        <x:v>QA-инженер</x:v>
      </x:c>
      <x:c r="B10" s="27" t="n">
        <x:f>'Параметры'!C25</x:f>
        <x:v>0.15</x:v>
      </x:c>
      <x:c r="C10" s="16" t="n">
        <x:f>'Прецеденты'!$B$35*B10</x:f>
        <x:v>204.9</x:v>
      </x:c>
      <x:c r="D10" s="16" t="n">
        <x:f>0</x:f>
        <x:v>0</x:v>
      </x:c>
      <x:c r="E10" s="16" t="n">
        <x:f>C10+D10</x:f>
        <x:v>204.9</x:v>
      </x:c>
      <x:c r="F10" s="16" t="n">
        <x:f>'Параметры'!D25</x:f>
        <x:v>850</x:v>
      </x:c>
      <x:c r="G10" s="16" t="n">
        <x:f>E10*F10</x:f>
        <x:v>174165</x:v>
      </x:c>
      <x:c r="H10" s="2"/>
    </x:row>
    <x:row r="11" ht="25" customHeight="1">
      <x:c r="A11" s="2"/>
      <x:c r="B11" s="2"/>
      <x:c r="C11" s="16"/>
      <x:c r="D11" s="16"/>
      <x:c r="E11" s="16"/>
      <x:c r="F11" s="16"/>
      <x:c r="G11" s="16"/>
      <x:c r="H11" s="2"/>
    </x:row>
    <x:row r="12" ht="25" customHeight="1">
      <x:c r="A12" s="14" t="str">
        <x:v>Итого трудовая стоимость</x:v>
      </x:c>
      <x:c r="B12" s="34" t="n">
        <x:f>SUM(B5:B10)</x:f>
        <x:v>1</x:v>
      </x:c>
      <x:c r="C12" s="17" t="n">
        <x:f>SUM(C5:C10)</x:f>
        <x:v>1366</x:v>
      </x:c>
      <x:c r="D12" s="17" t="n">
        <x:f>SUM(D5:D10)</x:f>
        <x:v>381.5</x:v>
      </x:c>
      <x:c r="E12" s="17" t="n">
        <x:f>SUM(E5:E10)</x:f>
        <x:v>1747.5</x:v>
      </x:c>
      <x:c r="F12" s="17"/>
      <x:c r="G12" s="17" t="n">
        <x:f>SUM(G5:G10)</x:f>
        <x:v>2035930</x:v>
      </x:c>
      <x:c r="H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</x:row>
    <x:row r="16" ht="38" customHeight="1">
      <x:c r="A16" s="7" t="str">
        <x:v>Прямой расход</x:v>
      </x:c>
      <x:c r="B16" s="7" t="str">
        <x:v>Количество</x:v>
      </x:c>
      <x:c r="C16" s="7" t="str">
        <x:v>Цена руб</x:v>
      </x:c>
      <x:c r="D16" s="7" t="str">
        <x:v>Сумма руб</x:v>
      </x:c>
      <x:c r="E16" s="2"/>
      <x:c r="F16" s="2"/>
      <x:c r="G16" s="2"/>
      <x:c r="H16" s="2"/>
    </x:row>
    <x:row r="17" ht="25" customHeight="1">
      <x:c r="A17" s="2" t="str">
        <x:v>Тестовая среда, месяц</x:v>
      </x:c>
      <x:c r="B17" s="30" t="n">
        <x:f>'Параметры'!B13</x:f>
        <x:v>6</x:v>
      </x:c>
      <x:c r="C17" s="28" t="n">
        <x:v>2000</x:v>
      </x:c>
      <x:c r="D17" s="16" t="n">
        <x:f>B17*C17</x:f>
        <x:v>12000</x:v>
      </x:c>
      <x:c r="E17" s="2"/>
      <x:c r="F17" s="2"/>
      <x:c r="G17" s="2"/>
      <x:c r="H17" s="2"/>
    </x:row>
    <x:row r="18" ht="25" customHeight="1">
      <x:c r="A18" s="2" t="str">
        <x:v>Пилотный хостинг, месяц</x:v>
      </x:c>
      <x:c r="B18" s="30" t="n">
        <x:f>'Параметры'!B13</x:f>
        <x:v>6</x:v>
      </x:c>
      <x:c r="C18" s="28" t="n">
        <x:v>1500</x:v>
      </x:c>
      <x:c r="D18" s="16" t="n">
        <x:f>B18*C18</x:f>
        <x:v>9000</x:v>
      </x:c>
      <x:c r="E18" s="2"/>
      <x:c r="F18" s="2"/>
      <x:c r="G18" s="2"/>
      <x:c r="H18" s="2"/>
    </x:row>
    <x:row r="19" ht="25" customHeight="1">
      <x:c r="A19" s="2" t="str">
        <x:v>Домен, год</x:v>
      </x:c>
      <x:c r="B19" s="20" t="n">
        <x:v>1</x:v>
      </x:c>
      <x:c r="C19" s="28" t="n">
        <x:v>1200</x:v>
      </x:c>
      <x:c r="D19" s="16" t="n">
        <x:f>B19*C19</x:f>
        <x:v>1200</x:v>
      </x:c>
      <x:c r="E19" s="2"/>
      <x:c r="F19" s="2"/>
      <x:c r="G19" s="2"/>
      <x:c r="H19" s="2"/>
    </x:row>
    <x:row r="20" ht="25" customHeight="1">
      <x:c r="A20" s="2"/>
      <x:c r="B20" s="2"/>
      <x:c r="C20" s="16"/>
      <x:c r="D20" s="16"/>
      <x:c r="E20" s="2"/>
      <x:c r="F20" s="2"/>
      <x:c r="G20" s="2"/>
      <x:c r="H20" s="2"/>
    </x:row>
    <x:row r="21" ht="25" customHeight="1">
      <x:c r="A21" s="14" t="str">
        <x:v>Итого прямые расходы</x:v>
      </x:c>
      <x:c r="B21" s="14"/>
      <x:c r="C21" s="17"/>
      <x:c r="D21" s="17" t="n">
        <x:f>SUM(D17:D19)</x:f>
        <x:v>22200</x:v>
      </x:c>
      <x:c r="E21" s="2"/>
      <x:c r="F21" s="2"/>
      <x:c r="G21" s="2"/>
      <x:c r="H21" s="2"/>
    </x:row>
    <x:row r="22" ht="25" customHeight="1">
      <x:c r="A22" s="2"/>
      <x:c r="B22" s="2"/>
      <x:c r="C22" s="16"/>
      <x:c r="D22" s="16"/>
      <x:c r="E22" s="2"/>
      <x:c r="F22" s="2"/>
      <x:c r="G22" s="2"/>
      <x:c r="H22" s="2"/>
    </x:row>
    <x:row r="23" ht="25" customHeight="1">
      <x:c r="A23" s="2"/>
      <x:c r="B23" s="2"/>
      <x:c r="C23" s="16"/>
      <x:c r="D23" s="16"/>
      <x:c r="E23" s="2"/>
      <x:c r="F23" s="2"/>
      <x:c r="G23" s="2"/>
      <x:c r="H23" s="2"/>
    </x:row>
    <x:row r="24" ht="25" customHeight="1">
      <x:c r="A24" s="2" t="str">
        <x:v>Трудовая стоимость</x:v>
      </x:c>
      <x:c r="B24" s="2"/>
      <x:c r="C24" s="16"/>
      <x:c r="D24" s="16" t="n">
        <x:f>G12</x:f>
        <x:v>2035930</x:v>
      </x:c>
      <x:c r="E24" s="2"/>
      <x:c r="F24" s="2"/>
      <x:c r="G24" s="2"/>
      <x:c r="H24" s="2"/>
    </x:row>
    <x:row r="25" ht="25" customHeight="1">
      <x:c r="A25" s="2" t="str">
        <x:v>Прямые расходы</x:v>
      </x:c>
      <x:c r="B25" s="2"/>
      <x:c r="C25" s="16"/>
      <x:c r="D25" s="16" t="n">
        <x:f>D21</x:f>
        <x:v>22200</x:v>
      </x:c>
      <x:c r="E25" s="2"/>
      <x:c r="F25" s="2"/>
      <x:c r="G25" s="2"/>
      <x:c r="H25" s="2"/>
    </x:row>
    <x:row r="26" ht="25" customHeight="1">
      <x:c r="A26" s="14" t="str">
        <x:v>Себестоимость проекта</x:v>
      </x:c>
      <x:c r="B26" s="14"/>
      <x:c r="C26" s="17"/>
      <x:c r="D26" s="17" t="n">
        <x:f>D24+D25</x:f>
        <x:v>2058130</x:v>
      </x:c>
      <x:c r="E26" s="2"/>
      <x:c r="F26" s="2"/>
      <x:c r="G26" s="2"/>
      <x:c r="H26" s="2"/>
    </x:row>
    <x:row r="27" ht="25" customHeight="1">
      <x:c r="A27" s="2" t="str">
        <x:v>Резерв бюджета</x:v>
      </x:c>
      <x:c r="B27" s="2"/>
      <x:c r="C27" s="16"/>
      <x:c r="D27" s="16" t="n">
        <x:f>D26*'Параметры'!B14</x:f>
        <x:v>205813</x:v>
      </x:c>
      <x:c r="E27" s="2"/>
      <x:c r="F27" s="2"/>
      <x:c r="G27" s="2"/>
      <x:c r="H27" s="2"/>
    </x:row>
    <x:row r="28" ht="25" customHeight="1">
      <x:c r="A28" s="14" t="str">
        <x:v>Бюджет с резервом</x:v>
      </x:c>
      <x:c r="B28" s="14"/>
      <x:c r="C28" s="17"/>
      <x:c r="D28" s="17" t="n">
        <x:f>D26+D27</x:f>
        <x:v>2263943</x:v>
      </x:c>
      <x:c r="E28" s="2"/>
      <x:c r="F28" s="2"/>
      <x:c r="G28" s="2"/>
      <x:c r="H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</x:row>
    <x:row r="30" ht="25" customHeight="1">
      <x:c r="A30" s="2" t="str">
        <x:v>Расходы — учебные допущения. Резерв не включён в себестоимость и трудозатраты.</x:v>
      </x:c>
      <x:c r="B30" s="2"/>
      <x:c r="C30" s="2"/>
      <x:c r="D30" s="2"/>
      <x:c r="E30" s="2"/>
      <x:c r="F30" s="2"/>
      <x:c r="G30" s="2"/>
      <x:c r="H30" s="2"/>
    </x:row>
    <x:row r="31" ht="25" customHeight="1">
      <x:c r="A31" s="2" t="str">
        <x:v>Лицензии React, Python, PostgreSQL: 0 руб. Дополнительные поездки не запланированы.</x:v>
      </x:c>
      <x:c r="B31" s="2"/>
      <x:c r="C31" s="2"/>
      <x:c r="D31" s="2"/>
      <x:c r="E31" s="2"/>
      <x:c r="F31" s="2"/>
      <x:c r="G31" s="2"/>
      <x:c r="H31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1" hidden="0" customWidth="1"/>
    <x:col min="4" max="4" width="23" hidden="0" customWidth="1"/>
    <x:col min="5" max="5" width="75" hidden="0" customWidth="1"/>
    <x:col min="6" max="6" width="22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3" t="str">
        <x:v>АС Студенты   Матрица компромиссов</x:v>
      </x:c>
      <x:c r="B2" s="2"/>
      <x:c r="C2" s="2"/>
      <x:c r="D2" s="2"/>
      <x:c r="E2" s="2"/>
      <x:c r="F2" s="2"/>
    </x:row>
    <x:row r="3" ht="25" customHeight="1">
      <x:c r="A3" s="2"/>
      <x:c r="B3" s="2"/>
      <x:c r="C3" s="2"/>
      <x:c r="D3" s="2"/>
      <x:c r="E3" s="2"/>
      <x:c r="F3" s="2"/>
    </x:row>
    <x:row r="4" ht="38" customHeight="1">
      <x:c r="A4" s="7" t="str">
        <x:v>Фактор</x:v>
      </x:c>
      <x:c r="B4" s="7" t="str">
        <x:v>Фиксируется</x:v>
      </x:c>
      <x:c r="C4" s="7" t="str">
        <x:v>Согласуется</x:v>
      </x:c>
      <x:c r="D4" s="7" t="str">
        <x:v>Принимается</x:v>
      </x:c>
      <x:c r="E4" s="7" t="str">
        <x:v>Решение</x:v>
      </x:c>
      <x:c r="F4" s="7" t="str">
        <x:v>Контроль строки</x:v>
      </x:c>
    </x:row>
    <x:row r="5" ht="75" customHeight="1">
      <x:c r="A5" s="2" t="str">
        <x:v>Возможности</x:v>
      </x:c>
      <x:c r="B5" s="20" t="n">
        <x:v>1</x:v>
      </x:c>
      <x:c r="C5" s="20" t="n">
        <x:v>0</x:v>
      </x:c>
      <x:c r="D5" s="20" t="n">
        <x:v>0</x:v>
      </x:c>
      <x:c r="E5" s="8" t="str">
        <x:v>Все 24 исходных прецедента сохраняются.</x:v>
      </x:c>
      <x:c r="F5" s="2" t="n">
        <x:f>SUM(B5:D5)</x:f>
        <x:v>1</x:v>
      </x:c>
    </x:row>
    <x:row r="6" ht="75" customHeight="1">
      <x:c r="A6" s="2" t="str">
        <x:v>Время</x:v>
      </x:c>
      <x:c r="B6" s="20" t="n">
        <x:v>0</x:v>
      </x:c>
      <x:c r="C6" s="20" t="n">
        <x:v>1</x:v>
      </x:c>
      <x:c r="D6" s="20" t="n">
        <x:v>0</x:v>
      </x:c>
      <x:c r="E6" s="8" t="str">
        <x:v>Срок 23.03.2026–23.09.2026; отклонения согласуются с заказчиком.</x:v>
      </x:c>
      <x:c r="F6" s="2" t="n">
        <x:f>SUM(B6:D6)</x:f>
        <x:v>1</x:v>
      </x:c>
    </x:row>
    <x:row r="7" ht="75" customHeight="1">
      <x:c r="A7" s="2" t="str">
        <x:v>Ресурсы</x:v>
      </x:c>
      <x:c r="B7" s="20" t="n">
        <x:v>0</x:v>
      </x:c>
      <x:c r="C7" s="20" t="n">
        <x:v>0</x:v>
      </x:c>
      <x:c r="D7" s="20" t="n">
        <x:v>1</x:v>
      </x:c>
      <x:c r="E7" s="8" t="str">
        <x:v>Команда из 6 ролей; меняется загрузка, привлечение ресурсов требует согласования.</x:v>
      </x:c>
      <x:c r="F7" s="2" t="n">
        <x:f>SUM(B7:D7)</x:f>
        <x:v>1</x:v>
      </x:c>
    </x:row>
    <x:row r="8" ht="25" customHeight="1">
      <x:c r="A8" s="2"/>
      <x:c r="B8" s="2"/>
      <x:c r="C8" s="2"/>
      <x:c r="D8" s="2"/>
      <x:c r="E8" s="2"/>
      <x:c r="F8" s="2"/>
    </x:row>
    <x:row r="9" ht="25" customHeight="1">
      <x:c r="A9" s="2" t="str">
        <x:v>Контроль колонок</x:v>
      </x:c>
      <x:c r="B9" s="2" t="n">
        <x:f>SUM(B5:B7)</x:f>
        <x:v>1</x:v>
      </x:c>
      <x:c r="C9" s="2" t="n">
        <x:f>SUM(C5:C7)</x:f>
        <x:v>1</x:v>
      </x:c>
      <x:c r="D9" s="2" t="n">
        <x:f>SUM(D5:D7)</x:f>
        <x:v>1</x:v>
      </x:c>
      <x:c r="E9" s="2"/>
      <x:c r="F9" s="2"/>
    </x:row>
    <x:row r="10" ht="25" customHeight="1">
      <x:c r="A10" s="2"/>
      <x:c r="B10" s="2"/>
      <x:c r="C10" s="2"/>
      <x:c r="D10" s="2"/>
      <x:c r="E10" s="2"/>
      <x:c r="F10" s="2"/>
    </x:row>
    <x:row r="11" ht="25" customHeight="1">
      <x:c r="A11" s="2"/>
      <x:c r="B11" s="2"/>
      <x:c r="C11" s="2"/>
      <x:c r="D11" s="2"/>
      <x:c r="E11" s="2"/>
      <x:c r="F11" s="2"/>
    </x:row>
    <x:row r="12" ht="25" customHeight="1">
      <x:c r="A12" s="2" t="str">
        <x:v>1 означает выбранный приоритет; в каждой строке и колонке должна быть одна единица.</x:v>
      </x:c>
      <x:c r="B12" s="2"/>
      <x:c r="C12" s="2"/>
      <x:c r="D12" s="2"/>
      <x:c r="E12" s="2"/>
      <x:c r="F12" s="2"/>
    </x:row>
    <x:row r="13" ht="25" customHeight="1">
      <x:c r="A13" s="2" t="str">
        <x:v>Изменение требований требует согласования нового объёма и повторного расчёта.</x:v>
      </x:c>
      <x:c r="B13" s="2"/>
      <x:c r="C13" s="2"/>
      <x:c r="D13" s="2"/>
      <x:c r="E13" s="2"/>
      <x:c r="F13" s="2"/>
    </x:row>
    <x:row r="14" ht="25" customHeight="1">
      <x:c r="A14" s="2"/>
      <x:c r="B14" s="2"/>
      <x:c r="C14" s="2"/>
      <x:c r="D14" s="2"/>
      <x:c r="E14" s="2"/>
      <x:c r="F14" s="2"/>
    </x:row>
  </x:sheetData>
  <x:conditionalFormatting sqref="B9:D9">
    <x:cfRule type="cellIs" dxfId="0" priority="1" operator="notEqual">
      <x:formula>1</x:formula>
    </x:cfRule>
  </x:conditionalFormatting>
  <x:dataValidations count="1">
    <x:dataValidation type="whole" operator="between" sqref="B5:D7">
      <x:formula1>0</x:formula1>
      <x:formula2>1</x:formula2>
    </x:dataValidation>
  </x:dataValidations>
  <x:pageMargins left="0.7" right="0.7" top="0.75" bottom="0.75" header="0.3" footer="0.3"/>
</x:worksheet>
</file>